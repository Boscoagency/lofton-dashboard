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Estratégico" sheetId="1" state="visible" r:id="rId3"/>
    <sheet name="Meta Ads — Plan Completo" sheetId="2" state="visible" r:id="rId4"/>
    <sheet name="Google Ads — Plan Completo" sheetId="3" state="visible" r:id="rId5"/>
    <sheet name="Keywords Detalladas" sheetId="4" state="visible" r:id="rId6"/>
    <sheet name="Calendario Presupuestal" sheetId="5" state="visible" r:id="rId7"/>
    <sheet name="Display Ads — Recomendacion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<sst xmlns="http://schemas.openxmlformats.org/spreadsheetml/2006/main" count="1035" uniqueCount="644">
  <si>
    <t xml:space="preserve">PLAN ANUAL DE CAMPAÑAS DIGITALES 2026 — LOFTON SERVICIOS INTEGRALES</t>
  </si>
  <si>
    <t xml:space="preserve">Presupuesto Total: $300,000 MXN | Meta Ads + Google Ads</t>
  </si>
  <si>
    <t xml:space="preserve">DISTRIBUCIÓN PRESUPUESTAL ESTRATÉGICA</t>
  </si>
  <si>
    <t xml:space="preserve">Concepto</t>
  </si>
  <si>
    <t xml:space="preserve">% del Total</t>
  </si>
  <si>
    <t xml:space="preserve">Monto Anual</t>
  </si>
  <si>
    <t xml:space="preserve">Monto Mensual Prom.</t>
  </si>
  <si>
    <t xml:space="preserve">Justificación</t>
  </si>
  <si>
    <t xml:space="preserve">Google Ads (Search + Display)</t>
  </si>
  <si>
    <t xml:space="preserve">45%</t>
  </si>
  <si>
    <t xml:space="preserve">$135,000</t>
  </si>
  <si>
    <t xml:space="preserve">$11,250</t>
  </si>
  <si>
    <t xml:space="preserve">Canal de captación directa con intención activa de búsqueda</t>
  </si>
  <si>
    <t xml:space="preserve">Meta Ads (Facebook + Instagram)</t>
  </si>
  <si>
    <t xml:space="preserve">40%</t>
  </si>
  <si>
    <t xml:space="preserve">$120,000</t>
  </si>
  <si>
    <t xml:space="preserve">$10,000</t>
  </si>
  <si>
    <t xml:space="preserve">Branding, awareness y remarketing para servicios B2B</t>
  </si>
  <si>
    <t xml:space="preserve">Reserva de Optimización</t>
  </si>
  <si>
    <t xml:space="preserve">10%</t>
  </si>
  <si>
    <t xml:space="preserve">$30,000</t>
  </si>
  <si>
    <t xml:space="preserve">—</t>
  </si>
  <si>
    <t xml:space="preserve">Fondo para escalar campañas con mejor rendimiento mid-year</t>
  </si>
  <si>
    <t xml:space="preserve">Testing A/B y Nuevos Formatos</t>
  </si>
  <si>
    <t xml:space="preserve">5%</t>
  </si>
  <si>
    <t xml:space="preserve">$15,000</t>
  </si>
  <si>
    <t xml:space="preserve">$1,250</t>
  </si>
  <si>
    <t xml:space="preserve">Pruebas de creativos, audiencias y canales emergentes</t>
  </si>
  <si>
    <t xml:space="preserve">TOTAL</t>
  </si>
  <si>
    <t xml:space="preserve">100%</t>
  </si>
  <si>
    <t xml:space="preserve">$300,000</t>
  </si>
  <si>
    <t xml:space="preserve">PRIORIZACIÓN DE SERVICIOS POR INVERSIÓN PUBLICITARIA</t>
  </si>
  <si>
    <t xml:space="preserve">Servicio</t>
  </si>
  <si>
    <t xml:space="preserve">Ingresos 2025</t>
  </si>
  <si>
    <t xml:space="preserve">Meta Crecimiento</t>
  </si>
  <si>
    <t xml:space="preserve">% Crecimiento</t>
  </si>
  <si>
    <t xml:space="preserve">Leads Necesarios</t>
  </si>
  <si>
    <t xml:space="preserve">ROI/Lead</t>
  </si>
  <si>
    <t xml:space="preserve">Prioridad Pauta</t>
  </si>
  <si>
    <t xml:space="preserve">% Budget Sugerido</t>
  </si>
  <si>
    <t xml:space="preserve">Auditoría</t>
  </si>
  <si>
    <t xml:space="preserve">$7,200,000</t>
  </si>
  <si>
    <t xml:space="preserve">$1,250,000</t>
  </si>
  <si>
    <t xml:space="preserve">17.4%</t>
  </si>
  <si>
    <t xml:space="preserve">5</t>
  </si>
  <si>
    <t xml:space="preserve">$250,000</t>
  </si>
  <si>
    <t xml:space="preserve">ALTA</t>
  </si>
  <si>
    <t xml:space="preserve">25%</t>
  </si>
  <si>
    <t xml:space="preserve">Nómina</t>
  </si>
  <si>
    <t xml:space="preserve">$8,800,000</t>
  </si>
  <si>
    <t xml:space="preserve">$1,000,000</t>
  </si>
  <si>
    <t xml:space="preserve">11.4%</t>
  </si>
  <si>
    <t xml:space="preserve">80</t>
  </si>
  <si>
    <t xml:space="preserve">$12,500</t>
  </si>
  <si>
    <t xml:space="preserve">20%</t>
  </si>
  <si>
    <t xml:space="preserve">Fiscal</t>
  </si>
  <si>
    <t xml:space="preserve">$600,000</t>
  </si>
  <si>
    <t xml:space="preserve">$850,000</t>
  </si>
  <si>
    <t xml:space="preserve">141.7%</t>
  </si>
  <si>
    <t xml:space="preserve">3.4</t>
  </si>
  <si>
    <t xml:space="preserve">MUY ALTA</t>
  </si>
  <si>
    <t xml:space="preserve">Mercantil/Corporativo</t>
  </si>
  <si>
    <t xml:space="preserve">$1,500,000</t>
  </si>
  <si>
    <t xml:space="preserve">66.7%</t>
  </si>
  <si>
    <t xml:space="preserve">MEDIA-ALTA</t>
  </si>
  <si>
    <t xml:space="preserve">15%</t>
  </si>
  <si>
    <t xml:space="preserve">Contabilidad</t>
  </si>
  <si>
    <t xml:space="preserve">$10,800,000</t>
  </si>
  <si>
    <t xml:space="preserve">$750,000</t>
  </si>
  <si>
    <t xml:space="preserve">6.9%</t>
  </si>
  <si>
    <t xml:space="preserve">3</t>
  </si>
  <si>
    <t xml:space="preserve">MEDIA</t>
  </si>
  <si>
    <t xml:space="preserve">Laboral</t>
  </si>
  <si>
    <t xml:space="preserve">$150,000</t>
  </si>
  <si>
    <t xml:space="preserve">60%</t>
  </si>
  <si>
    <t xml:space="preserve">10</t>
  </si>
  <si>
    <t xml:space="preserve">PLAN DE CAMPAÑA META ADS 2026 — LOFTON</t>
  </si>
  <si>
    <t xml:space="preserve">Campaña/Temporalidad</t>
  </si>
  <si>
    <t xml:space="preserve">Objetivo Meta</t>
  </si>
  <si>
    <t xml:space="preserve">Fechas</t>
  </si>
  <si>
    <t xml:space="preserve">Presupuesto</t>
  </si>
  <si>
    <t xml:space="preserve">Audiencia/Segmentación</t>
  </si>
  <si>
    <t xml:space="preserve">Formato Anuncio</t>
  </si>
  <si>
    <t xml:space="preserve">Cant. Creativos</t>
  </si>
  <si>
    <t xml:space="preserve">Copy Principal (Headline)</t>
  </si>
  <si>
    <t xml:space="preserve">Copy Secundario (Body)</t>
  </si>
  <si>
    <t xml:space="preserve">CTA</t>
  </si>
  <si>
    <t xml:space="preserve">Observaciones</t>
  </si>
  <si>
    <t xml:space="preserve">ALWAYS ON</t>
  </si>
  <si>
    <t xml:space="preserve">Always On — Brand Awareness</t>
  </si>
  <si>
    <t xml:space="preserve">Todos los servicios</t>
  </si>
  <si>
    <t xml:space="preserve">Reconocimiento de marca</t>
  </si>
  <si>
    <t xml:space="preserve">Ene–Dic 2026</t>
  </si>
  <si>
    <t xml:space="preserve">$2,500/mes
$30,000/año</t>
  </si>
  <si>
    <t xml:space="preserve">• Dueños de empresas medianas
• CFOs y directores de finanzas
• 30-55 años
• CDMX, EdoMex, Guadalajara, Monterrey
• Intereses: gestión empresarial, contabilidad, derecho fiscal</t>
  </si>
  <si>
    <t xml:space="preserve">Video corto (Reels)
Carrusel informativo</t>
  </si>
  <si>
    <t xml:space="preserve">3 Reels + 2 Carruseles
(rotar mensual)</t>
  </si>
  <si>
    <t xml:space="preserve">Tu empresa merece certeza, no incertidumbre</t>
  </si>
  <si>
    <t xml:space="preserve">En Lofton no vendemos servicios, vendemos control, protección y tranquilidad para tu negocio. Más de 30 años blindando empresas como la tuya.</t>
  </si>
  <si>
    <t xml:space="preserve">Conoce más</t>
  </si>
  <si>
    <t xml:space="preserve">Campaña siempre activa. Renovar creativos cada 2 meses. Nutrir audiencias de remarketing.</t>
  </si>
  <si>
    <t xml:space="preserve">Always On — Remarketing</t>
  </si>
  <si>
    <t xml:space="preserve">Servicio según interacción</t>
  </si>
  <si>
    <t xml:space="preserve">Conversiones / Leads</t>
  </si>
  <si>
    <t xml:space="preserve">$1,500/mes
$18,000/año</t>
  </si>
  <si>
    <t xml:space="preserve">• Visitantes sitio web (últimos 90 días)
• Interactuaron con redes sociales
• Abrieron formulario sin enviar
• Lookalike 1% de clientes actuales</t>
  </si>
  <si>
    <t xml:space="preserve">Imagen estática
Carrusel de casos/testimonios</t>
  </si>
  <si>
    <t xml:space="preserve">2 Estáticas + 1 Carrusel
(rotar bimestral)</t>
  </si>
  <si>
    <t xml:space="preserve">¿Ya revisaste los riesgos fiscales de tu empresa?</t>
  </si>
  <si>
    <t xml:space="preserve">Agenda un diagnóstico sin costo. Nuestros especialistas analizan tu situación y te dan un plan de acción claro.</t>
  </si>
  <si>
    <t xml:space="preserve">Agenda tu diagnóstico</t>
  </si>
  <si>
    <t xml:space="preserve">Segmentar por servicio visitado. Excluir leads ya convertidos.</t>
  </si>
  <si>
    <t xml:space="preserve">T1: ENERO — MARZO</t>
  </si>
  <si>
    <t xml:space="preserve">Dictamen Fiscal — Captación temprana</t>
  </si>
  <si>
    <t xml:space="preserve">Auditoría / Dictamen Fiscal</t>
  </si>
  <si>
    <t xml:space="preserve">Generación de leads</t>
  </si>
  <si>
    <t xml:space="preserve">10 Feb – 25 Mar</t>
  </si>
  <si>
    <t xml:space="preserve">$8,000</t>
  </si>
  <si>
    <t xml:space="preserve">• Empresas con ingresos &gt;$100M anuales
• Contadores internos
• CFOs
• CDMX y Zona Metropolitana
• Intereses: SAT, declaración anual, auditoría fiscal</t>
  </si>
  <si>
    <t xml:space="preserve">Video explicativo (Reel 30s)
Carrusel '5 errores comunes'
Imagen estática urgencia</t>
  </si>
  <si>
    <t xml:space="preserve">2 Reels + 1 Carrusel + 2 Estáticas = 5 creativos</t>
  </si>
  <si>
    <t xml:space="preserve">El dictamen fiscal tiene fecha límite: 15 de mayo</t>
  </si>
  <si>
    <t xml:space="preserve">Cada año el SAT incrementa sus revisiones. ¿Tu dictamen está listo? En Lofton te acompañamos desde el aviso hasta la presentación. Sin sorpresas.</t>
  </si>
  <si>
    <t xml:space="preserve">Solicita cotización</t>
  </si>
  <si>
    <t xml:space="preserve">Pico de urgencia. Mensaje de deadline. Lead magnet: Checklist de Dictamen.</t>
  </si>
  <si>
    <t xml:space="preserve">Dictamen CDMX — Contribuciones Locales</t>
  </si>
  <si>
    <t xml:space="preserve">Auditoría Contribuciones Locales</t>
  </si>
  <si>
    <t xml:space="preserve">16 Feb – 13 Mar</t>
  </si>
  <si>
    <t xml:space="preserve">$4,000</t>
  </si>
  <si>
    <t xml:space="preserve">• Empresas con operación en CDMX
• Responsables de nómina y predial
• Contadores
• CDMX exclusivo</t>
  </si>
  <si>
    <t xml:space="preserve">Imagen estática
Carrusel de fechas clave</t>
  </si>
  <si>
    <t xml:space="preserve">1 Carrusel + 2 Estáticas = 3 creativos</t>
  </si>
  <si>
    <t xml:space="preserve">Aviso del dictamen CDMX: 15 de marzo</t>
  </si>
  <si>
    <t xml:space="preserve">El dictamen de contribuciones locales en CDMX tiene plazos estrictos. Nómina y predial deben estar en orden. Te ayudamos con el aviso y la presentación completa.</t>
  </si>
  <si>
    <t xml:space="preserve">Solicita información</t>
  </si>
  <si>
    <t xml:space="preserve">Geolocalizacion solo CDMX. Mensaje urgente por deadline cercano.</t>
  </si>
  <si>
    <t xml:space="preserve">Dictamen IMSS/INFONAVIT</t>
  </si>
  <si>
    <t xml:space="preserve">Auditoría IMSS + INFONAVIT</t>
  </si>
  <si>
    <t xml:space="preserve">15 Feb – 31 Mar</t>
  </si>
  <si>
    <t xml:space="preserve">$5,000</t>
  </si>
  <si>
    <t xml:space="preserve">• Empresas con +50 empleados
• Directores de RH
• Responsables de nómina
• CDMX, EdoMex, GDL, MTY</t>
  </si>
  <si>
    <t xml:space="preserve">Video testimonial
Imagen estática deadline
Carrusel proceso</t>
  </si>
  <si>
    <t xml:space="preserve">1 Reel + 1 Carrusel + 2 Estáticas = 4 creativos</t>
  </si>
  <si>
    <t xml:space="preserve">Aviso de dictamen IMSS: límite 30 de abril</t>
  </si>
  <si>
    <t xml:space="preserve">El IMSS no perdona omisiones. Evita multas presentando tu dictamen a tiempo. En Lofton nos encargamos del aviso y del proceso completo.</t>
  </si>
  <si>
    <t xml:space="preserve">Agenda asesoría</t>
  </si>
  <si>
    <t xml:space="preserve">Combinar IMSS e INFONAVIT en un mismo paquete de servicio.</t>
  </si>
  <si>
    <t xml:space="preserve">Nómina — Arranque de año</t>
  </si>
  <si>
    <t xml:space="preserve">Administración de Nómina</t>
  </si>
  <si>
    <t xml:space="preserve">9 Feb – 28 Feb</t>
  </si>
  <si>
    <t xml:space="preserve">• Empresas medianas 50–500 empleados
• Directores de RH
• Dueños PYMES
• Nacional enfoque CDMX</t>
  </si>
  <si>
    <t xml:space="preserve">Carrusel beneficios
Reel explicativo</t>
  </si>
  <si>
    <t xml:space="preserve">1 Reel + 1 Carrusel + 1 Estática = 3 creativos</t>
  </si>
  <si>
    <t xml:space="preserve">¿Sigues calculando nómina en Excel?</t>
  </si>
  <si>
    <t xml:space="preserve">Errores de nómina = multas + demandas. Profesionaliza el proceso con Lofton: cálculo, timbrado y cumplimiento garantizado.</t>
  </si>
  <si>
    <t xml:space="preserve">Cotiza tu nómina</t>
  </si>
  <si>
    <t xml:space="preserve">Enfoque eficiencia y reducción de riesgo.</t>
  </si>
  <si>
    <t xml:space="preserve">Reparto de utilidades / CUCA-CUFIN</t>
  </si>
  <si>
    <t xml:space="preserve">Fiscal / Contabilidad</t>
  </si>
  <si>
    <t xml:space="preserve">Leads + Awareness</t>
  </si>
  <si>
    <t xml:space="preserve">9 Feb – 23 Mar</t>
  </si>
  <si>
    <t xml:space="preserve">$3,000</t>
  </si>
  <si>
    <t xml:space="preserve">• CFOs y directores de finanzas
• Contadores internos
• Empresas con +3 años operando
• CDMX + Nacional</t>
  </si>
  <si>
    <t xml:space="preserve">Carrusel informativo
Imagen estática</t>
  </si>
  <si>
    <t xml:space="preserve">¿Sabes cuánto PTU deberás repartir este año?</t>
  </si>
  <si>
    <t xml:space="preserve">CUCA, CUFIN y reparto de utilidades requieren cálculos precisos. Un error puede costarte una contingencia fiscal. Déjanos ayudarte.</t>
  </si>
  <si>
    <t xml:space="preserve">Solicita diagnóstico</t>
  </si>
  <si>
    <t xml:space="preserve">Tema educativo. Posicionar expertise fiscal.</t>
  </si>
  <si>
    <t xml:space="preserve">T2: ABRIL — JUNIO</t>
  </si>
  <si>
    <t xml:space="preserve">Inspecciones STPS — Prevención</t>
  </si>
  <si>
    <t xml:space="preserve">Laboral / Inspecciones STPS</t>
  </si>
  <si>
    <t xml:space="preserve">1 May – 30 Jun</t>
  </si>
  <si>
    <t xml:space="preserve">• Empresas con REPSE
• Directores de RH y Legal
• Empresas de outsourcing/subcontratación
• CDMX, GDL, MTY, QRO</t>
  </si>
  <si>
    <t xml:space="preserve">Video tipo 'sabías que'
Carrusel checklist
Imagen de urgencia</t>
  </si>
  <si>
    <t xml:space="preserve">¿Tu REPSE está al día? STPS puede visitarte sin aviso</t>
  </si>
  <si>
    <t xml:space="preserve">Las inspecciones de Seguridad e Higiene y REPSE se intensifican en 2026. ¿Tienes todo documentado? Te preparamos para pasar cualquier revisión.</t>
  </si>
  <si>
    <t xml:space="preserve">Agenda tu revisión</t>
  </si>
  <si>
    <t xml:space="preserve">Segmentar por industria: manufactura, construcción, servicios.</t>
  </si>
  <si>
    <t xml:space="preserve">Blindaje Laboral — Prevención</t>
  </si>
  <si>
    <t xml:space="preserve">Compliance Laboral</t>
  </si>
  <si>
    <t xml:space="preserve">$4,500</t>
  </si>
  <si>
    <t xml:space="preserve">• Dueños de empresas
• Directores de RH
• Abogados corporativos internos
• Nacional</t>
  </si>
  <si>
    <t xml:space="preserve">Carrusel 'señales de riesgo'
Reel caso práctico</t>
  </si>
  <si>
    <t xml:space="preserve">¿Pagas liquidaciones porque no sabes cómo dar de baja?</t>
  </si>
  <si>
    <t xml:space="preserve">La prevención laboral te ahorra demandas costosas. En Lofton blindamos tu operación para que puedas gestionar tu equipo con certeza legal.</t>
  </si>
  <si>
    <t xml:space="preserve">Solicita diagnóstico laboral</t>
  </si>
  <si>
    <t xml:space="preserve">Mensaje emocional: miedo a demandas. Solución: blindaje.</t>
  </si>
  <si>
    <t xml:space="preserve">Gobierno Corporativo</t>
  </si>
  <si>
    <t xml:space="preserve">Corporativo/Mercantil</t>
  </si>
  <si>
    <t xml:space="preserve">Leads cualificados</t>
  </si>
  <si>
    <t xml:space="preserve">2 May – 31 Oct</t>
  </si>
  <si>
    <t xml:space="preserve">$6,000</t>
  </si>
  <si>
    <t xml:space="preserve">• Empresas familiares en transición
• Consejos de administración
• CFOs y directores generales
• Empresas con inversión extranjera</t>
  </si>
  <si>
    <t xml:space="preserve">Video thought leadership
Carrusel beneficios
Imagen estática</t>
  </si>
  <si>
    <t xml:space="preserve">2 Reels + 2 Carruseles + 2 Estáticas = 6 creativos
(rotar cada 2 meses)</t>
  </si>
  <si>
    <t xml:space="preserve">¿Quién controla realmente tu empresa?</t>
  </si>
  <si>
    <t xml:space="preserve">Un gobierno corporativo sólido protege tu patrimonio, atrae inversión y previene conflictos entre socios. Diagnosticamos tu estructura actual.</t>
  </si>
  <si>
    <t xml:space="preserve">Solicita diagnóstico corporativo</t>
  </si>
  <si>
    <t xml:space="preserve">Campaña larga. Rotar mensajes: blindaje patrimonial, due diligence, beneficiario controlador.</t>
  </si>
  <si>
    <t xml:space="preserve">PTU — Cálculo e inspecciones</t>
  </si>
  <si>
    <t xml:space="preserve">Leads</t>
  </si>
  <si>
    <t xml:space="preserve">18 Mar – 30 Abr</t>
  </si>
  <si>
    <t xml:space="preserve">$2,500</t>
  </si>
  <si>
    <t xml:space="preserve">• Todas las empresas con empleados
• Directores de RH y finanzas
• CDMX + Nacional</t>
  </si>
  <si>
    <t xml:space="preserve">Imagen urgencia
Carrusel paso a paso</t>
  </si>
  <si>
    <t xml:space="preserve">Mayo es mes de PTU. ¿Calculaste bien?</t>
  </si>
  <si>
    <t xml:space="preserve">Un mal cálculo de participación de utilidades puede generar inspecciones y sanciones. Te ayudamos con el cálculo correcto y la estrategia ante revisiones.</t>
  </si>
  <si>
    <t xml:space="preserve">Calcula tu PTU</t>
  </si>
  <si>
    <t xml:space="preserve">Deadline awareness. Corto y urgente.</t>
  </si>
  <si>
    <t xml:space="preserve">Defensa Fiscal</t>
  </si>
  <si>
    <t xml:space="preserve">Fiscal / Defensa</t>
  </si>
  <si>
    <t xml:space="preserve">17 Mar – 30 Abr</t>
  </si>
  <si>
    <t xml:space="preserve">• Empresas con auditorías activas del SAT
• CFOs y contadores
• Abogados fiscalistas
• Nacional</t>
  </si>
  <si>
    <t xml:space="preserve">Video educativo
Imagen estática impacto</t>
  </si>
  <si>
    <t xml:space="preserve">1 Reel + 2 Estáticas = 3 creativos</t>
  </si>
  <si>
    <t xml:space="preserve">¿Te están auditando y no tienes estrategia?</t>
  </si>
  <si>
    <t xml:space="preserve">Una mala defensa ante el SAT puede costarte millones. Nuestro equipo fiscal construye estrategias sólidas para proteger tu patrimonio.</t>
  </si>
  <si>
    <t xml:space="preserve">Agenda tu caso</t>
  </si>
  <si>
    <t xml:space="preserve">Segundo pico en Ago-Oct. Preparar segunda ola de creativos.</t>
  </si>
  <si>
    <t xml:space="preserve">Coeficiente de Utilidad</t>
  </si>
  <si>
    <t xml:space="preserve">Awareness + Leads</t>
  </si>
  <si>
    <t xml:space="preserve">15 Abr – 15 Jun</t>
  </si>
  <si>
    <t xml:space="preserve">• CFOs y contadores
• Empresas con pagos provisionales altos
• CDMX + Nacional</t>
  </si>
  <si>
    <t xml:space="preserve">Carrusel explicativo
Imagen estática</t>
  </si>
  <si>
    <t xml:space="preserve">1 Carrusel + 1 Estática = 2 creativos</t>
  </si>
  <si>
    <t xml:space="preserve">¿Tus pagos provisionales son más altos de lo necesario?</t>
  </si>
  <si>
    <t xml:space="preserve">La disminución del coeficiente de utilidad en el segundo semestre puede optimizar tu flujo de efectivo. Analizamos si aplica para tu empresa.</t>
  </si>
  <si>
    <t xml:space="preserve">Solicita análisis</t>
  </si>
  <si>
    <t xml:space="preserve">Tema técnico. Audiencia muy específica.</t>
  </si>
  <si>
    <t xml:space="preserve">Contratos Mercantiles</t>
  </si>
  <si>
    <t xml:space="preserve">1 Jun – 31 Ago</t>
  </si>
  <si>
    <t xml:space="preserve">$3,500</t>
  </si>
  <si>
    <t xml:space="preserve">• Directores generales y legales
• Empresas con operaciones comerciales complejas
• CDMX, GDL, MTY</t>
  </si>
  <si>
    <t xml:space="preserve">Carrusel de tipos de contratos
Imagen estática</t>
  </si>
  <si>
    <t xml:space="preserve">¿Tus contratos te protegen o te exponen?</t>
  </si>
  <si>
    <t xml:space="preserve">Un contrato mercantil mal redactado puede costarte más que un abogado. Revisamos y redactamos contratos que blindan tus operaciones comerciales.</t>
  </si>
  <si>
    <t xml:space="preserve">Solicita revisión de contrato</t>
  </si>
  <si>
    <t xml:space="preserve">Beneficiario Controlador incluir como subtema.</t>
  </si>
  <si>
    <t xml:space="preserve">T3: JULIO — SEPTIEMBRE</t>
  </si>
  <si>
    <t xml:space="preserve">Dictamen EdoMex — Nómina</t>
  </si>
  <si>
    <t xml:space="preserve">30 Mar – 10 Jun</t>
  </si>
  <si>
    <t xml:space="preserve">• Empresas con operación en Estado de México
• Responsables de nómina
• Contadores
• EdoMex exclusivo</t>
  </si>
  <si>
    <t xml:space="preserve">Imagen estática deadline
Carrusel proceso</t>
  </si>
  <si>
    <t xml:space="preserve">Dictamen EdoMex: aviso antes del 31 de julio</t>
  </si>
  <si>
    <t xml:space="preserve">El impuesto sobre nómina en EdoMex tiene fechas estrictas. Aviso antes del 31 de julio, presentación antes del 31 de agosto.</t>
  </si>
  <si>
    <t xml:space="preserve">Geolocalizacion solo EdoMex.</t>
  </si>
  <si>
    <t xml:space="preserve">Nómina — Segundo pico</t>
  </si>
  <si>
    <t xml:space="preserve">1 Jul – 31 Jul</t>
  </si>
  <si>
    <t xml:space="preserve">• Misma segmentación T1
• Agregar lookalike de leads T1</t>
  </si>
  <si>
    <t xml:space="preserve">Nuevos creativos
Video testimonio cliente</t>
  </si>
  <si>
    <t xml:space="preserve">Segundo semestre, momento ideal para profesionalizar tu nómina</t>
  </si>
  <si>
    <t xml:space="preserve">No esperes a diciembre para poner orden. Migra tu nómina con Lofton y cierra el año sin pendientes.</t>
  </si>
  <si>
    <t xml:space="preserve">Cotiza ahora</t>
  </si>
  <si>
    <t xml:space="preserve">Retargeting a leads T1 que no convirtieron.</t>
  </si>
  <si>
    <t xml:space="preserve">Inspecciones STPS — Segunda ola</t>
  </si>
  <si>
    <t xml:space="preserve">Laboral / STPS</t>
  </si>
  <si>
    <t xml:space="preserve">1 Ago – 30 Sep</t>
  </si>
  <si>
    <t xml:space="preserve">• Misma segmentación T2
• Empresas manufactureras y de servicios</t>
  </si>
  <si>
    <t xml:space="preserve">Nuevos creativos enfoque urgencia</t>
  </si>
  <si>
    <t xml:space="preserve">Las inspecciones STPS no avisan. ¿Estás preparado?</t>
  </si>
  <si>
    <t xml:space="preserve">No esperes a la multa. Prepara tu empresa para cualquier inspección de STPS con nuestro programa de blindaje laboral.</t>
  </si>
  <si>
    <t xml:space="preserve">Agenda revisión</t>
  </si>
  <si>
    <t xml:space="preserve">Mensaje de urgencia reforzado.</t>
  </si>
  <si>
    <t xml:space="preserve">T4: OCTUBRE — DICIEMBRE</t>
  </si>
  <si>
    <t xml:space="preserve">Cierre Fiscal + Planeación</t>
  </si>
  <si>
    <t xml:space="preserve">14 Sep – 15 Nov</t>
  </si>
  <si>
    <t xml:space="preserve">$7,000</t>
  </si>
  <si>
    <t xml:space="preserve">• CFOs y directores de finanzas
• Contadores internos senior
• Dueños de empresas
• Nacional</t>
  </si>
  <si>
    <t xml:space="preserve">Video thought leadership
Carrusel checklist
Imagen estática</t>
  </si>
  <si>
    <t xml:space="preserve">2 Reels + 2 Carruseles + 2 Estáticas = 6 creativos</t>
  </si>
  <si>
    <t xml:space="preserve">¿Cómo vas a cerrar fiscalmente el 2026?</t>
  </si>
  <si>
    <t xml:space="preserve">La planeación fiscal antes de diciembre define cuánto pagarás en 2027. Nuestros especialistas optimizan tu cierre con estrategias legales probadas.</t>
  </si>
  <si>
    <t xml:space="preserve">Agenda planeación fiscal</t>
  </si>
  <si>
    <t xml:space="preserve">CAMPAÑA FUERTE. Mayor presupuesto. Incluye inventarios, CFDI retenciones.</t>
  </si>
  <si>
    <t xml:space="preserve">Dictamen Fiscal — Empuje anticipado 2027</t>
  </si>
  <si>
    <t xml:space="preserve">Auditoría / Dictamen</t>
  </si>
  <si>
    <t xml:space="preserve">14 Sep – 3 Nov</t>
  </si>
  <si>
    <t xml:space="preserve">• Misma segmentación T1 Dictamen
• Lookalike de clientes de auditoría</t>
  </si>
  <si>
    <t xml:space="preserve">Carrusel 'prepárate desde ahora'
Reel educativo</t>
  </si>
  <si>
    <t xml:space="preserve">Empezar ahora tu dictamen 2026 te ahorra problemas en 2027</t>
  </si>
  <si>
    <t xml:space="preserve">Los mejores cierres fiscales se preparan con meses de anticipación. Asegura tu dictamen desde octubre y arranca el año siguiente sin estrés.</t>
  </si>
  <si>
    <t xml:space="preserve">Reserva tu lugar</t>
  </si>
  <si>
    <t xml:space="preserve">Planting seed para T1 del año siguiente.</t>
  </si>
  <si>
    <t xml:space="preserve">Blindaje Laboral — Cierre sin contingencias</t>
  </si>
  <si>
    <t xml:space="preserve">1 Sep – 31 Oct</t>
  </si>
  <si>
    <t xml:space="preserve">• Misma segmentación T2
• Empresas que contrataron en el año</t>
  </si>
  <si>
    <t xml:space="preserve">Carrusel 'cierra sin pendientes'
Imagen estática</t>
  </si>
  <si>
    <t xml:space="preserve">Cierra el año sin contingencias laborales</t>
  </si>
  <si>
    <t xml:space="preserve">Revisa tus contratos, expedientes y cumplimiento NOM antes de diciembre. Te ayudamos a cerrar limpio.</t>
  </si>
  <si>
    <t xml:space="preserve">Solicita auditoría laboral</t>
  </si>
  <si>
    <t xml:space="preserve">Enfoque cierre de año.</t>
  </si>
  <si>
    <t xml:space="preserve">Aguinaldo — Cálculo correcto</t>
  </si>
  <si>
    <t xml:space="preserve">Laboral / Nómina</t>
  </si>
  <si>
    <t xml:space="preserve">15 Oct – 15 Nov</t>
  </si>
  <si>
    <t xml:space="preserve">• Todas las empresas con empleados
• Directores de RH
• CDMX + Nacional</t>
  </si>
  <si>
    <t xml:space="preserve">Carrusel cálculo
Imagen estática deadline</t>
  </si>
  <si>
    <t xml:space="preserve">¿Sabes calcular correctamente el aguinaldo?</t>
  </si>
  <si>
    <t xml:space="preserve">Un error en el cálculo de aguinaldo puede generar demandas y multas. Asegura el cumplimiento con asesoría profesional.</t>
  </si>
  <si>
    <t xml:space="preserve">Calcula con nosotros</t>
  </si>
  <si>
    <t xml:space="preserve">Deadline awareness. Inspecciones posteriores.</t>
  </si>
  <si>
    <t xml:space="preserve">Declaración Anual — Captación temprana</t>
  </si>
  <si>
    <t xml:space="preserve">1 Dic – 31 Ene 2027</t>
  </si>
  <si>
    <t xml:space="preserve">• Personas morales y físicas
• Contadores
• CFOs
• Nacional</t>
  </si>
  <si>
    <t xml:space="preserve">Carrusel timeline
Reel explicativo
Imagen estática</t>
  </si>
  <si>
    <t xml:space="preserve">Declaración anual 2026: ¿ya tienes todo listo?</t>
  </si>
  <si>
    <t xml:space="preserve">La declaración anual PM es en marzo, PF en abril. Empieza a prepararte ahora. En Lofton te acompañamos paso a paso.</t>
  </si>
  <si>
    <t xml:space="preserve">Agenda tu declaración</t>
  </si>
  <si>
    <t xml:space="preserve">Captación anticipada para enero-marzo 2027.</t>
  </si>
  <si>
    <t xml:space="preserve">PLAN DE CAMPAÑA GOOGLE ADS 2026 — LOFTON</t>
  </si>
  <si>
    <t xml:space="preserve">Campaña/Grupo de Anuncios</t>
  </si>
  <si>
    <t xml:space="preserve">Tipo de Campaña</t>
  </si>
  <si>
    <t xml:space="preserve">Palabras Clave (Match Types)</t>
  </si>
  <si>
    <t xml:space="preserve">Palabras Clave Negativas</t>
  </si>
  <si>
    <t xml:space="preserve">Título 1 (30 car)</t>
  </si>
  <si>
    <t xml:space="preserve">Título 2 (30 car)</t>
  </si>
  <si>
    <t xml:space="preserve">Título 3 (30 car)</t>
  </si>
  <si>
    <t xml:space="preserve">Descripción 1 (90 car)</t>
  </si>
  <si>
    <t xml:space="preserve">ALWAYS ON — SEARCH</t>
  </si>
  <si>
    <t xml:space="preserve">Brand Campaign</t>
  </si>
  <si>
    <t xml:space="preserve">Todos</t>
  </si>
  <si>
    <t xml:space="preserve">Search</t>
  </si>
  <si>
    <t xml:space="preserve">Ene–Dic</t>
  </si>
  <si>
    <t xml:space="preserve">$1,000/mes
$12,000/año</t>
  </si>
  <si>
    <t xml:space="preserve">[lofton servicios]
[lofton auditoría]
"despacho lofton"
lofton fiscal
lofton nómina</t>
  </si>
  <si>
    <t xml:space="preserve">lofton salud
lofton bienes raíces
lofton inmobiliaria
ofton
lofton comida</t>
  </si>
  <si>
    <t xml:space="preserve">Lofton Servicios Integrales</t>
  </si>
  <si>
    <t xml:space="preserve">Auditoría, Fiscal y Laboral</t>
  </si>
  <si>
    <t xml:space="preserve">Más de 30 Años de Experiencia</t>
  </si>
  <si>
    <t xml:space="preserve">Certeza, control y protección para tu empresa. Servicios de auditoría, fiscal, laboral y corporativo. Agenda tu diagnóstico sin costo.</t>
  </si>
  <si>
    <t xml:space="preserve">Auditoría — Search</t>
  </si>
  <si>
    <t xml:space="preserve">Feb–May / Sep–Nov</t>
  </si>
  <si>
    <t xml:space="preserve">$2,500/mes
$20,000/año</t>
  </si>
  <si>
    <t xml:space="preserve">[dictamen fiscal]
[auditoría de estados financieros]
"dictamen fiscal obligatorio"
auditoria empresas
auditoría fiscal sat
[dictamen imss]
[dictamen infonavit]
"auditoría contribuciones locales"</t>
  </si>
  <si>
    <t xml:space="preserve">auditoría médica
auditoría ambiental
auditoria interna iso
curso auditoría
plantilla auditoría
auditoría energética</t>
  </si>
  <si>
    <t xml:space="preserve">Dictamen Fiscal 2026</t>
  </si>
  <si>
    <t xml:space="preserve">Evita Multas del SAT</t>
  </si>
  <si>
    <t xml:space="preserve">Auditoría Profesional</t>
  </si>
  <si>
    <t xml:space="preserve">Presenta tu dictamen fiscal a tiempo. Acompañamiento integral desde el aviso hasta la presentación. Cotiza ahora con Lofton.</t>
  </si>
  <si>
    <t xml:space="preserve">Fiscal — Search</t>
  </si>
  <si>
    <t xml:space="preserve">Asesoría y Defensa Fiscal</t>
  </si>
  <si>
    <t xml:space="preserve">Mar–Nov</t>
  </si>
  <si>
    <t xml:space="preserve">$2,000/mes
$18,000/año</t>
  </si>
  <si>
    <t xml:space="preserve">[asesoría fiscal]
[defensa fiscal sat]
"auditoría del sat qué hacer"
carta invitación sat
vigilancia profunda sat
[recurso de revocación fiscal]
"planeación fiscal empresas"</t>
  </si>
  <si>
    <t xml:space="preserve">asesoría fiscal gratis
curso fiscal
contador gratis
asesoria fiscal personal
trámites sat cita
rfc sat</t>
  </si>
  <si>
    <t xml:space="preserve">¿Te Audita el SAT?</t>
  </si>
  <si>
    <t xml:space="preserve">Defensa Fiscal Profesional</t>
  </si>
  <si>
    <t xml:space="preserve">Protege Tu Patrimonio</t>
  </si>
  <si>
    <t xml:space="preserve">Estrategias legales para enfrentar auditorías fiscales. Evita créditos excesivos con asesoría especializada. Más de 30 años de experiencia.</t>
  </si>
  <si>
    <t xml:space="preserve">Nómina — Search</t>
  </si>
  <si>
    <t xml:space="preserve">Feb–Mar / Jul / Oct–Nov</t>
  </si>
  <si>
    <t xml:space="preserve">$1,500/mes
$12,000/año</t>
  </si>
  <si>
    <t xml:space="preserve">[administración de nómina]
[servicio de nómina outsourcing]
"cálculo de nómina empresas"
timbrado de nómina
maquila de nómina
[outsourcing nómina méxico]</t>
  </si>
  <si>
    <t xml:space="preserve">software nómina
nómina gratis
cómo hacer nómina
nomipaq
nómina personal
calculadora nómina</t>
  </si>
  <si>
    <t xml:space="preserve">Nómina Sin Errores</t>
  </si>
  <si>
    <t xml:space="preserve">Cálculo y Timbrado Exacto</t>
  </si>
  <si>
    <t xml:space="preserve">Profesionaliza Tu Nómina</t>
  </si>
  <si>
    <t xml:space="preserve">Eliminamos errores de nómina que generan multas y demandas. Cálculo, timbrado y cumplimiento garantizado. Cotiza tu servicio.</t>
  </si>
  <si>
    <t xml:space="preserve">Laboral — Search</t>
  </si>
  <si>
    <t xml:space="preserve">Laboral / Compliance</t>
  </si>
  <si>
    <t xml:space="preserve">Mar–Jun / Ago–Nov</t>
  </si>
  <si>
    <t xml:space="preserve">[blindaje laboral]
[inspección stps]
"compliance laboral empresas"
repse obligaciones
inspección seguridad e higiene
[demanda laboral empresa]
"prevención laboral"</t>
  </si>
  <si>
    <t xml:space="preserve">abogado laboral gratis
demanda laboral trabajador
curso stps
norm 035 gratis
capacitación stps</t>
  </si>
  <si>
    <t xml:space="preserve">Blindaje Laboral Integral</t>
  </si>
  <si>
    <t xml:space="preserve">Prevén Demandas Costosas</t>
  </si>
  <si>
    <t xml:space="preserve">Inspección STPS Sin Miedo</t>
  </si>
  <si>
    <t xml:space="preserve">Protege tu empresa ante inspecciones STPS y demandas laborales. Cumplimiento normativo integral. Agenda tu diagnóstico laboral.</t>
  </si>
  <si>
    <t xml:space="preserve">Corporativo — Search</t>
  </si>
  <si>
    <t xml:space="preserve">Mercantil / Corporativo</t>
  </si>
  <si>
    <t xml:space="preserve">May–Nov</t>
  </si>
  <si>
    <t xml:space="preserve">$1,200/mes
$8,400/año</t>
  </si>
  <si>
    <t xml:space="preserve">[gobierno corporativo]
[actas de asamblea]
"contratos mercantiles empresa"
beneficiario controlador
[constitución de empresas]
"restructuración empresarial"</t>
  </si>
  <si>
    <t xml:space="preserve">gobierno corporativo qué es
acta constitutiva gratis
formato contrato
plantilla acta
qué es gobierno corporativo</t>
  </si>
  <si>
    <t xml:space="preserve">Blindaje Legal Empresarial</t>
  </si>
  <si>
    <t xml:space="preserve">Estructura corporativa sólida para proteger patrimonio y atraer inversión. Actas, contratos y gobierno corporativo profesional.</t>
  </si>
  <si>
    <t xml:space="preserve">Contabilidad — Search</t>
  </si>
  <si>
    <t xml:space="preserve">Contabilidad Integral</t>
  </si>
  <si>
    <t xml:space="preserve">Jul / Oct–Nov</t>
  </si>
  <si>
    <t xml:space="preserve">$800/mes
$4,800/año</t>
  </si>
  <si>
    <t xml:space="preserve">[servicio de contabilidad empresas]
[outsourcing contable]
"llevar contabilidad empresa"
contabilidad integral
[despacho contable]</t>
  </si>
  <si>
    <t xml:space="preserve">contador gratis
curso contabilidad
software contable
como llevar contabilidad
contabilidad básica</t>
  </si>
  <si>
    <t xml:space="preserve">Contabilidad Profesional</t>
  </si>
  <si>
    <t xml:space="preserve">Control Total de Tus Cifras</t>
  </si>
  <si>
    <t xml:space="preserve">Outsourcing Contable Integral</t>
  </si>
  <si>
    <t xml:space="preserve">Llevamos la contabilidad de tu empresa con precisión y cumplimiento. Enfócate en crecer, nosotros nos encargamos de los números.</t>
  </si>
  <si>
    <t xml:space="preserve">DISPLAY / REMARKETING</t>
  </si>
  <si>
    <t xml:space="preserve">Display — Remarketing General</t>
  </si>
  <si>
    <t xml:space="preserve">Display Remarketing</t>
  </si>
  <si>
    <t xml:space="preserve">Audiencias:
• Visitantes sitio web 90d
• Similar audiences
• Custom intent: búsquedas fiscales</t>
  </si>
  <si>
    <t xml:space="preserve">N/A — Display</t>
  </si>
  <si>
    <t xml:space="preserve">Lofton: Tu Aliado Fiscal</t>
  </si>
  <si>
    <t xml:space="preserve">Diagnóstico Sin Costo</t>
  </si>
  <si>
    <t xml:space="preserve">30+ Años de Experiencia</t>
  </si>
  <si>
    <t xml:space="preserve">¿Buscas certeza fiscal y laboral? En Lofton protegemos empresas como la tuya. Agenda tu diagnóstico sin compromiso.</t>
  </si>
  <si>
    <t xml:space="preserve">Display — Campañas Temporales</t>
  </si>
  <si>
    <t xml:space="preserve">Según temporalidad</t>
  </si>
  <si>
    <t xml:space="preserve">Display Awareness</t>
  </si>
  <si>
    <t xml:space="preserve">$1,000/mes
$8,000/año</t>
  </si>
  <si>
    <t xml:space="preserve">Audiencias:
• In-market: servicios legales
• In-market: software contable
• Custom intent por temporalidad</t>
  </si>
  <si>
    <t xml:space="preserve">Dictamen Fiscal — Fecha Límite</t>
  </si>
  <si>
    <t xml:space="preserve">Cierre Fiscal 2026</t>
  </si>
  <si>
    <t xml:space="preserve">Los plazos fiscales no esperan. Asegura tu cumplimiento con especialistas. Lofton: certeza, control y protección para tu empresa.</t>
  </si>
  <si>
    <t xml:space="preserve">DESCRIPCIONES ADICIONALES Y EXTENSIONES</t>
  </si>
  <si>
    <t xml:space="preserve">Extensión</t>
  </si>
  <si>
    <t xml:space="preserve">Contenido</t>
  </si>
  <si>
    <t xml:space="preserve">Aplica a</t>
  </si>
  <si>
    <t xml:space="preserve">Sitelinks</t>
  </si>
  <si>
    <t xml:space="preserve">Auditoría | Fiscal | Nómina | Laboral | Corporativo | Contacto</t>
  </si>
  <si>
    <t xml:space="preserve">Todas las campañas</t>
  </si>
  <si>
    <t xml:space="preserve">Callout</t>
  </si>
  <si>
    <t xml:space="preserve">Más de 30 años | Diagnóstico sin costo | Equipo multidisciplinario | Atención personalizada</t>
  </si>
  <si>
    <t xml:space="preserve">Snippets estructurados</t>
  </si>
  <si>
    <t xml:space="preserve">Servicios: Dictamen Fiscal, Defensa Fiscal, Nómina, Blindaje Laboral, Gobierno Corporativo</t>
  </si>
  <si>
    <t xml:space="preserve">Campañas principales</t>
  </si>
  <si>
    <t xml:space="preserve">Extensión de llamada</t>
  </si>
  <si>
    <t xml:space="preserve">Teléfono de contacto directo Lofton</t>
  </si>
  <si>
    <t xml:space="preserve">Extensión de formulario</t>
  </si>
  <si>
    <t xml:space="preserve">Formulario de lead directo en el anuncio</t>
  </si>
  <si>
    <t xml:space="preserve">Auditoría, Fiscal, Nómina</t>
  </si>
  <si>
    <t xml:space="preserve">BANCO DE PALABRAS CLAVE Y NEGATIVAS — LOFTON 2026</t>
  </si>
  <si>
    <t xml:space="preserve">Keyword</t>
  </si>
  <si>
    <t xml:space="preserve">Match Type</t>
  </si>
  <si>
    <t xml:space="preserve">Intención</t>
  </si>
  <si>
    <t xml:space="preserve">Volumen Est.</t>
  </si>
  <si>
    <t xml:space="preserve">Prioridad</t>
  </si>
  <si>
    <t xml:space="preserve">dictamen fiscal</t>
  </si>
  <si>
    <t xml:space="preserve">Exact</t>
  </si>
  <si>
    <t xml:space="preserve">Transaccional</t>
  </si>
  <si>
    <t xml:space="preserve">Alto</t>
  </si>
  <si>
    <t xml:space="preserve">P0</t>
  </si>
  <si>
    <t xml:space="preserve">dictamen fiscal obligatorio</t>
  </si>
  <si>
    <t xml:space="preserve">Phrase</t>
  </si>
  <si>
    <t xml:space="preserve">Informativa</t>
  </si>
  <si>
    <t xml:space="preserve">Medio</t>
  </si>
  <si>
    <t xml:space="preserve">P1</t>
  </si>
  <si>
    <t xml:space="preserve">auditoría de estados financieros</t>
  </si>
  <si>
    <t xml:space="preserve">auditoría fiscal empresas</t>
  </si>
  <si>
    <t xml:space="preserve">Broad Modified</t>
  </si>
  <si>
    <t xml:space="preserve">Investigación</t>
  </si>
  <si>
    <t xml:space="preserve">dictamen fiscal sat</t>
  </si>
  <si>
    <t xml:space="preserve">dictamen imss</t>
  </si>
  <si>
    <t xml:space="preserve">dictamen infonavit</t>
  </si>
  <si>
    <t xml:space="preserve">dictamen contribuciones locales cdmx</t>
  </si>
  <si>
    <t xml:space="preserve">Bajo</t>
  </si>
  <si>
    <t xml:space="preserve">auditoría contribuciones locales edomex</t>
  </si>
  <si>
    <t xml:space="preserve">despacho auditoría fiscal méxico</t>
  </si>
  <si>
    <t xml:space="preserve">precio dictamen fiscal</t>
  </si>
  <si>
    <t xml:space="preserve">quién está obligado al dictamen fiscal</t>
  </si>
  <si>
    <t xml:space="preserve">precios de transferencia diopr</t>
  </si>
  <si>
    <t xml:space="preserve">asesoría fiscal empresas</t>
  </si>
  <si>
    <t xml:space="preserve">defensa fiscal sat</t>
  </si>
  <si>
    <t xml:space="preserve">auditoría del sat qué hacer</t>
  </si>
  <si>
    <t xml:space="preserve">carta invitación sat</t>
  </si>
  <si>
    <t xml:space="preserve">vigilancia profunda sat</t>
  </si>
  <si>
    <t xml:space="preserve">recurso de revocación fiscal</t>
  </si>
  <si>
    <t xml:space="preserve">planeación fiscal empresas</t>
  </si>
  <si>
    <t xml:space="preserve">cierre fiscal 2026</t>
  </si>
  <si>
    <t xml:space="preserve">coeficiente de utilidad disminución</t>
  </si>
  <si>
    <t xml:space="preserve">programa regularización sat</t>
  </si>
  <si>
    <t xml:space="preserve">materialidad fiscal 2026</t>
  </si>
  <si>
    <t xml:space="preserve">despacho fiscal méxico</t>
  </si>
  <si>
    <t xml:space="preserve">administración de nómina</t>
  </si>
  <si>
    <t xml:space="preserve">servicio de nómina outsourcing</t>
  </si>
  <si>
    <t xml:space="preserve">cálculo de nómina empresas</t>
  </si>
  <si>
    <t xml:space="preserve">timbrado de nómina</t>
  </si>
  <si>
    <t xml:space="preserve">maquila de nómina</t>
  </si>
  <si>
    <t xml:space="preserve">outsourcing nómina méxico</t>
  </si>
  <si>
    <t xml:space="preserve">error nómina multas</t>
  </si>
  <si>
    <t xml:space="preserve">blindaje laboral empresas</t>
  </si>
  <si>
    <t xml:space="preserve">inspección stps</t>
  </si>
  <si>
    <t xml:space="preserve">compliance laboral empresas</t>
  </si>
  <si>
    <t xml:space="preserve">repse obligaciones</t>
  </si>
  <si>
    <t xml:space="preserve">inspección seguridad e higiene</t>
  </si>
  <si>
    <t xml:space="preserve">demanda laboral empresa qué hacer</t>
  </si>
  <si>
    <t xml:space="preserve">prevención laboral</t>
  </si>
  <si>
    <t xml:space="preserve">litigio laboral empresas</t>
  </si>
  <si>
    <t xml:space="preserve">Corporativo</t>
  </si>
  <si>
    <t xml:space="preserve">gobierno corporativo empresas</t>
  </si>
  <si>
    <t xml:space="preserve">actas de asamblea</t>
  </si>
  <si>
    <t xml:space="preserve">contratos mercantiles empresa</t>
  </si>
  <si>
    <t xml:space="preserve">beneficiario controlador</t>
  </si>
  <si>
    <t xml:space="preserve">constitución de empresas</t>
  </si>
  <si>
    <t xml:space="preserve">restructuración empresarial</t>
  </si>
  <si>
    <t xml:space="preserve">blindaje patrimonial</t>
  </si>
  <si>
    <t xml:space="preserve">servicio de contabilidad empresas</t>
  </si>
  <si>
    <t xml:space="preserve">outsourcing contable</t>
  </si>
  <si>
    <t xml:space="preserve">llevar contabilidad empresa</t>
  </si>
  <si>
    <t xml:space="preserve">contabilidad integral</t>
  </si>
  <si>
    <t xml:space="preserve">despacho contable méxico</t>
  </si>
  <si>
    <t xml:space="preserve">PALABRAS CLAVE NEGATIVAS — APLICAR A TODAS LAS CAMPAÑAS</t>
  </si>
  <si>
    <t xml:space="preserve">Categoría</t>
  </si>
  <si>
    <t xml:space="preserve">Palabra Negativa</t>
  </si>
  <si>
    <t xml:space="preserve">Razón de Exclusión</t>
  </si>
  <si>
    <t xml:space="preserve">Gratuito/Empleo</t>
  </si>
  <si>
    <t xml:space="preserve">gratis</t>
  </si>
  <si>
    <t xml:space="preserve">Filtra usuarios que buscan servicios sin costo</t>
  </si>
  <si>
    <t xml:space="preserve">gratuito</t>
  </si>
  <si>
    <t xml:space="preserve">Mismo caso</t>
  </si>
  <si>
    <t xml:space="preserve">empleo</t>
  </si>
  <si>
    <t xml:space="preserve">Búsquedas laborales, no servicios profesionales</t>
  </si>
  <si>
    <t xml:space="preserve">vacantes</t>
  </si>
  <si>
    <t xml:space="preserve">Ofertas de trabajo</t>
  </si>
  <si>
    <t xml:space="preserve">trabajo</t>
  </si>
  <si>
    <t xml:space="preserve">Búsquedas de empleo</t>
  </si>
  <si>
    <t xml:space="preserve">Educativo</t>
  </si>
  <si>
    <t xml:space="preserve">curso</t>
  </si>
  <si>
    <t xml:space="preserve">Usuarios buscando capacitación, no servicios</t>
  </si>
  <si>
    <t xml:space="preserve">diplomado</t>
  </si>
  <si>
    <t xml:space="preserve">Formación académica</t>
  </si>
  <si>
    <t xml:space="preserve">maestría</t>
  </si>
  <si>
    <t xml:space="preserve">Educación formal</t>
  </si>
  <si>
    <t xml:space="preserve">certificación</t>
  </si>
  <si>
    <t xml:space="preserve">Credenciales educativas</t>
  </si>
  <si>
    <t xml:space="preserve">capacitación</t>
  </si>
  <si>
    <t xml:space="preserve">Cursos y talleres</t>
  </si>
  <si>
    <t xml:space="preserve">tesis</t>
  </si>
  <si>
    <t xml:space="preserve">Trabajo académico</t>
  </si>
  <si>
    <t xml:space="preserve">Software/DIY</t>
  </si>
  <si>
    <t xml:space="preserve">software</t>
  </si>
  <si>
    <t xml:space="preserve">Usuarios buscando herramientas digitales</t>
  </si>
  <si>
    <t xml:space="preserve">programa contable</t>
  </si>
  <si>
    <t xml:space="preserve">Software de contabilidad</t>
  </si>
  <si>
    <t xml:space="preserve">excel</t>
  </si>
  <si>
    <t xml:space="preserve">Herramientas ofimáticas</t>
  </si>
  <si>
    <t xml:space="preserve">plantilla</t>
  </si>
  <si>
    <t xml:space="preserve">Formatos descargables</t>
  </si>
  <si>
    <t xml:space="preserve">formato</t>
  </si>
  <si>
    <t xml:space="preserve">Templates y formatos</t>
  </si>
  <si>
    <t xml:space="preserve">calculadora</t>
  </si>
  <si>
    <t xml:space="preserve">Herramientas en línea</t>
  </si>
  <si>
    <t xml:space="preserve">Gubernamental</t>
  </si>
  <si>
    <t xml:space="preserve">sat cita</t>
  </si>
  <si>
    <t xml:space="preserve">Trámites directos SAT</t>
  </si>
  <si>
    <t xml:space="preserve">rfc</t>
  </si>
  <si>
    <t xml:space="preserve">Trámite personal en SAT</t>
  </si>
  <si>
    <t xml:space="preserve">imss cita</t>
  </si>
  <si>
    <t xml:space="preserve">Cita directa IMSS</t>
  </si>
  <si>
    <t xml:space="preserve">stps normas</t>
  </si>
  <si>
    <t xml:space="preserve">Búsqueda de normativa, no servicio</t>
  </si>
  <si>
    <t xml:space="preserve">Personal</t>
  </si>
  <si>
    <t xml:space="preserve">persona física</t>
  </si>
  <si>
    <t xml:space="preserve">Personas físicas sin empresa (baja conversión)</t>
  </si>
  <si>
    <t xml:space="preserve">declaración anual persona</t>
  </si>
  <si>
    <t xml:space="preserve">Declaraciones individuales básicas</t>
  </si>
  <si>
    <t xml:space="preserve">Competencia</t>
  </si>
  <si>
    <t xml:space="preserve">deloitte</t>
  </si>
  <si>
    <t xml:space="preserve">Búsqueda de competidor</t>
  </si>
  <si>
    <t xml:space="preserve">kpmg</t>
  </si>
  <si>
    <t xml:space="preserve">ey méxico</t>
  </si>
  <si>
    <t xml:space="preserve">pwc</t>
  </si>
  <si>
    <t xml:space="preserve">No relevante</t>
  </si>
  <si>
    <t xml:space="preserve">inmobiliaria</t>
  </si>
  <si>
    <t xml:space="preserve">Industria diferente</t>
  </si>
  <si>
    <t xml:space="preserve">salud</t>
  </si>
  <si>
    <t xml:space="preserve">Sector salud no relacionado</t>
  </si>
  <si>
    <t xml:space="preserve">comida</t>
  </si>
  <si>
    <t xml:space="preserve">No relacionado</t>
  </si>
  <si>
    <t xml:space="preserve">restaurante</t>
  </si>
  <si>
    <t xml:space="preserve">DISTRIBUCIÓN PRESUPUESTAL MENSUAL 2026</t>
  </si>
  <si>
    <t xml:space="preserve">Plataforma / Campaña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</si>
  <si>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</si>
  <si>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</si>
  <si>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</si>
  <si>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</si>
  <si>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</si>
  <si>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</si>
  <si>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</si>
  <si>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</si>
  <si>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</si>
  <si>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</si>
  <si>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</si>
  <si>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</si>
  <si>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META ADS</t>
  </si>
  <si>
    <t xml:space="preserve">Always On Brand</t>
  </si>
  <si>
    <t xml:space="preserve">Always On Remarketing</t>
  </si>
  <si>
    <t xml:space="preserve">Dictamen Fiscal</t>
  </si>
  <si>
    <t xml:space="preserve">Dictamen CDMX</t>
  </si>
  <si>
    <t xml:space="preserve">PTU/CUCA-CUFIN</t>
  </si>
  <si>
    <t xml:space="preserve">Inspecciones STPS</t>
  </si>
  <si>
    <t xml:space="preserve">Blindaje Laboral</t>
  </si>
  <si>
    <t xml:space="preserve">Coeficiente Utilidad</t>
  </si>
  <si>
    <t xml:space="preserve">Cierre Fiscal</t>
  </si>
  <si>
    <t xml:space="preserve">Aguinaldo</t>
  </si>
  <si>
    <t xml:space="preserve">Declaración Anual</t>
  </si>
  <si>
    <t xml:space="preserve">GOOGLE ADS</t>
  </si>
  <si>
    <t xml:space="preserve">Brand Search</t>
  </si>
  <si>
    <t xml:space="preserve">Auditoría Search</t>
  </si>
  <si>
    <t xml:space="preserve">Fiscal Search</t>
  </si>
  <si>
    <t xml:space="preserve">Nómina Search</t>
  </si>
  <si>
    <t xml:space="preserve">Laboral Search</t>
  </si>
  <si>
    <t xml:space="preserve">Corporativo Search</t>
  </si>
  <si>
    <t xml:space="preserve">Contabilidad Search</t>
  </si>
  <si>
    <t xml:space="preserve">Display Temporales</t>
  </si>
  <si>
    <t xml:space="preserve">TOTAL MENSUAL</t>
  </si>
  <si>
    <t xml:space="preserve">RESERVA OPTIMIZACIÓN (10%)</t>
  </si>
  <si>
    <t xml:space="preserve">TESTING A/B (5%)</t>
  </si>
  <si>
    <t xml:space="preserve">RECOMENDACIONES DE ANUNCIOS DISPLAY — LOFTON 2026</t>
  </si>
  <si>
    <t xml:space="preserve">Nombre del Banner</t>
  </si>
  <si>
    <t xml:space="preserve">Tamaño</t>
  </si>
  <si>
    <t xml:space="preserve">Mensaje Principal</t>
  </si>
  <si>
    <t xml:space="preserve">Temporalidad</t>
  </si>
  <si>
    <t xml:space="preserve">Audiencia Target</t>
  </si>
  <si>
    <t xml:space="preserve">Banner Dictamen Fiscal</t>
  </si>
  <si>
    <t xml:space="preserve">300x250, 728x90, 160x600</t>
  </si>
  <si>
    <t xml:space="preserve">Dictamen Fiscal 2026: No esperes al último momento</t>
  </si>
  <si>
    <t xml:space="preserve">Feb–May</t>
  </si>
  <si>
    <t xml:space="preserve">Visitantes web + Custom intent fiscal</t>
  </si>
  <si>
    <t xml:space="preserve">Banner Defensa SAT</t>
  </si>
  <si>
    <t xml:space="preserve">300x250, 728x90</t>
  </si>
  <si>
    <t xml:space="preserve">¿El SAT te está auditando? Defiende tu patrimonio</t>
  </si>
  <si>
    <t xml:space="preserve">Mar–May / Ago–Oct</t>
  </si>
  <si>
    <t xml:space="preserve">Custom intent: auditoría SAT</t>
  </si>
  <si>
    <t xml:space="preserve">Banner Nómina</t>
  </si>
  <si>
    <t xml:space="preserve">300x250, 320x50</t>
  </si>
  <si>
    <t xml:space="preserve">Tu nómina sin errores, multas ni demandas</t>
  </si>
  <si>
    <t xml:space="preserve">Feb–Mar / Jul</t>
  </si>
  <si>
    <t xml:space="preserve">In-market: servicios de nómina</t>
  </si>
  <si>
    <t xml:space="preserve">Banner Blindaje Laboral</t>
  </si>
  <si>
    <t xml:space="preserve">Prevén demandas: blindaje laboral integral</t>
  </si>
  <si>
    <t xml:space="preserve">Diagnóstico gratis</t>
  </si>
  <si>
    <t xml:space="preserve">May–Jun / Sep–Oct</t>
  </si>
  <si>
    <t xml:space="preserve">In-market: servicios legales laborales</t>
  </si>
  <si>
    <t xml:space="preserve">Banner STPS</t>
  </si>
  <si>
    <t xml:space="preserve">Inspección STPS: ¿Estás preparado?</t>
  </si>
  <si>
    <t xml:space="preserve">Revisa tu estatus</t>
  </si>
  <si>
    <t xml:space="preserve">May–Jun / Ago–Sep</t>
  </si>
  <si>
    <t xml:space="preserve">Custom intent: STPS, REPSE</t>
  </si>
  <si>
    <t xml:space="preserve">Banner Cierre Fiscal</t>
  </si>
  <si>
    <t xml:space="preserve">Cierra tu 2026 fiscal con estrategia</t>
  </si>
  <si>
    <t xml:space="preserve">Planeación fiscal</t>
  </si>
  <si>
    <t xml:space="preserve">Sep–Nov</t>
  </si>
  <si>
    <t xml:space="preserve">Remarketing + CFOs</t>
  </si>
  <si>
    <t xml:space="preserve">Banner Gobierno Corporativo</t>
  </si>
  <si>
    <t xml:space="preserve">Diagnóstico corporativo</t>
  </si>
  <si>
    <t xml:space="preserve">May–Oct</t>
  </si>
  <si>
    <t xml:space="preserve">Empresas familiares + inversión</t>
  </si>
  <si>
    <t xml:space="preserve">Banner Brand Awareness</t>
  </si>
  <si>
    <t xml:space="preserve">300x250, 728x90, 160x600, 320x50</t>
  </si>
  <si>
    <t xml:space="preserve">Lofton: Certeza, control y protección para tu empresa</t>
  </si>
  <si>
    <t xml:space="preserve">Remarketing general</t>
  </si>
  <si>
    <t xml:space="preserve">Responsive Display</t>
  </si>
  <si>
    <t xml:space="preserve">Responsive (Google auto-optimiza)</t>
  </si>
  <si>
    <t xml:space="preserve">Mensaje rotativo según campaña activa</t>
  </si>
  <si>
    <t xml:space="preserve">Agenda diagnóstico</t>
  </si>
  <si>
    <t xml:space="preserve">Similar audiences + remarketing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</si>
</sst>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b val="true"/>
      <sz val="12"/>
      <color rgb="FF2E509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0"/>
      <color rgb="FFF4A100"/>
      <name val="Arial"/>
      <family val="0"/>
      <charset val="1"/>
    </font>
    <font>
      <b val="true"/>
      <sz val="10"/>
      <color rgb="FFDC35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6E4F0"/>
        <bgColor rgb="FFE0E0E0"/>
      </patternFill>
    </fill>
    <fill>
      <patternFill patternType="solid">
        <fgColor rgb="FF2E5090"/>
        <bgColor rgb="FF0066CC"/>
      </patternFill>
    </fill>
    <fill>
      <patternFill patternType="solid">
        <fgColor rgb="FFDC3545"/>
        <bgColor rgb="FFEA433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C3545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0E0"/>
      <rgbColor rgb="FFFFFF99"/>
      <rgbColor rgb="FF99CCFF"/>
      <rgbColor rgb="FFFF99CC"/>
      <rgbColor rgb="FFCC99FF"/>
      <rgbColor rgb="FFFFCC99"/>
      <rgbColor rgb="FF1877F2"/>
      <rgbColor rgb="FF33CCCC"/>
      <rgbColor rgb="FF99CC00"/>
      <rgbColor rgb="FFFFCC00"/>
      <rgbColor rgb="FFF4A100"/>
      <rgbColor rgb="FFEA4335"/>
      <rgbColor rgb="FF4285F4"/>
      <rgbColor rgb="FF969696"/>
      <rgbColor rgb="FF003366"/>
      <rgbColor rgb="FF34A853"/>
      <rgbColor rgb="FF003300"/>
      <rgbColor rgb="FF333300"/>
      <rgbColor rgb="FF993300"/>
      <rgbColor rgb="FF993366"/>
      <rgbColor rgb="FF2E5090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8"/>
    <col collapsed="false" customWidth="true" hidden="false" outlineLevel="0" max="4" min="4" style="0" width="15"/>
    <col collapsed="false" customWidth="true" hidden="false" outlineLevel="0" max="7" min="5" style="0" width="18"/>
    <col collapsed="false" customWidth="true" hidden="false" outlineLevel="0" max="8" min="8" style="0" width="20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39.5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35.05" hidden="false" customHeight="false" outlineLevel="0" collapsed="false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</row>
    <row r="7" customFormat="false" ht="35.05" hidden="false" customHeight="false" outlineLevel="0" collapsed="false">
      <c r="A7" s="6" t="s">
        <v>13</v>
      </c>
      <c r="B7" s="6" t="s">
        <v>14</v>
      </c>
      <c r="C7" s="6" t="s">
        <v>15</v>
      </c>
      <c r="D7" s="6" t="s">
        <v>16</v>
      </c>
      <c r="E7" s="6" t="s">
        <v>17</v>
      </c>
    </row>
    <row r="8" customFormat="false" ht="35.05" hidden="false" customHeight="false" outlineLevel="0" collapsed="false">
      <c r="A8" s="5" t="s">
        <v>18</v>
      </c>
      <c r="B8" s="5" t="s">
        <v>19</v>
      </c>
      <c r="C8" s="5" t="s">
        <v>20</v>
      </c>
      <c r="D8" s="5" t="s">
        <v>21</v>
      </c>
      <c r="E8" s="5" t="s">
        <v>22</v>
      </c>
    </row>
    <row r="9" customFormat="false" ht="35.05" hidden="false" customHeight="false" outlineLevel="0" collapsed="false">
      <c r="A9" s="6" t="s">
        <v>23</v>
      </c>
      <c r="B9" s="6" t="s">
        <v>24</v>
      </c>
      <c r="C9" s="6" t="s">
        <v>25</v>
      </c>
      <c r="D9" s="6" t="s">
        <v>26</v>
      </c>
      <c r="E9" s="6" t="s">
        <v>27</v>
      </c>
    </row>
    <row r="10" customFormat="false" ht="15" hidden="false" customHeight="false" outlineLevel="0" collapsed="false">
      <c r="A10" s="7" t="s">
        <v>28</v>
      </c>
      <c r="B10" s="7" t="s">
        <v>29</v>
      </c>
      <c r="C10" s="7" t="s">
        <v>30</v>
      </c>
      <c r="D10" s="7" t="s">
        <v>21</v>
      </c>
      <c r="E10" s="7"/>
    </row>
    <row r="12" customFormat="false" ht="15" hidden="false" customHeight="false" outlineLevel="0" collapsed="false">
      <c r="A12" s="3" t="s">
        <v>31</v>
      </c>
      <c r="B12" s="3"/>
      <c r="C12" s="3"/>
      <c r="D12" s="3"/>
      <c r="E12" s="3"/>
      <c r="F12" s="3"/>
      <c r="G12" s="3"/>
      <c r="H12" s="3"/>
    </row>
    <row r="13" customFormat="false" ht="26.85" hidden="false" customHeight="false" outlineLevel="0" collapsed="false">
      <c r="A13" s="4" t="s">
        <v>32</v>
      </c>
      <c r="B13" s="4" t="s">
        <v>33</v>
      </c>
      <c r="C13" s="4" t="s">
        <v>34</v>
      </c>
      <c r="D13" s="4" t="s">
        <v>35</v>
      </c>
      <c r="E13" s="4" t="s">
        <v>36</v>
      </c>
      <c r="F13" s="4" t="s">
        <v>37</v>
      </c>
      <c r="G13" s="4" t="s">
        <v>38</v>
      </c>
      <c r="H13" s="4" t="s">
        <v>39</v>
      </c>
    </row>
    <row r="14" customFormat="false" ht="15" hidden="false" customHeight="false" outlineLevel="0" collapsed="false">
      <c r="A14" s="5" t="s">
        <v>40</v>
      </c>
      <c r="B14" s="5" t="s">
        <v>41</v>
      </c>
      <c r="C14" s="5" t="s">
        <v>42</v>
      </c>
      <c r="D14" s="5" t="s">
        <v>43</v>
      </c>
      <c r="E14" s="5" t="s">
        <v>44</v>
      </c>
      <c r="F14" s="5" t="s">
        <v>45</v>
      </c>
      <c r="G14" s="8" t="s">
        <v>46</v>
      </c>
      <c r="H14" s="5" t="s">
        <v>47</v>
      </c>
    </row>
    <row r="15" customFormat="false" ht="15" hidden="false" customHeight="false" outlineLevel="0" collapsed="false">
      <c r="A15" s="6" t="s">
        <v>48</v>
      </c>
      <c r="B15" s="6" t="s">
        <v>49</v>
      </c>
      <c r="C15" s="6" t="s">
        <v>50</v>
      </c>
      <c r="D15" s="6" t="s">
        <v>51</v>
      </c>
      <c r="E15" s="6" t="s">
        <v>52</v>
      </c>
      <c r="F15" s="6" t="s">
        <v>53</v>
      </c>
      <c r="G15" s="9" t="s">
        <v>46</v>
      </c>
      <c r="H15" s="6" t="s">
        <v>54</v>
      </c>
    </row>
    <row r="16" customFormat="false" ht="15" hidden="false" customHeight="false" outlineLevel="0" collapsed="false">
      <c r="A16" s="5" t="s">
        <v>55</v>
      </c>
      <c r="B16" s="5" t="s">
        <v>56</v>
      </c>
      <c r="C16" s="5" t="s">
        <v>57</v>
      </c>
      <c r="D16" s="5" t="s">
        <v>58</v>
      </c>
      <c r="E16" s="5" t="s">
        <v>59</v>
      </c>
      <c r="F16" s="5" t="s">
        <v>45</v>
      </c>
      <c r="G16" s="10" t="s">
        <v>60</v>
      </c>
      <c r="H16" s="5" t="s">
        <v>54</v>
      </c>
    </row>
    <row r="17" customFormat="false" ht="15" hidden="false" customHeight="false" outlineLevel="0" collapsed="false">
      <c r="A17" s="6" t="s">
        <v>61</v>
      </c>
      <c r="B17" s="6" t="s">
        <v>62</v>
      </c>
      <c r="C17" s="6" t="s">
        <v>50</v>
      </c>
      <c r="D17" s="6" t="s">
        <v>63</v>
      </c>
      <c r="E17" s="6" t="s">
        <v>21</v>
      </c>
      <c r="F17" s="6" t="s">
        <v>21</v>
      </c>
      <c r="G17" s="6" t="s">
        <v>64</v>
      </c>
      <c r="H17" s="6" t="s">
        <v>65</v>
      </c>
    </row>
    <row r="18" customFormat="false" ht="15" hidden="false" customHeight="false" outlineLevel="0" collapsed="false">
      <c r="A18" s="5" t="s">
        <v>66</v>
      </c>
      <c r="B18" s="5" t="s">
        <v>67</v>
      </c>
      <c r="C18" s="5" t="s">
        <v>68</v>
      </c>
      <c r="D18" s="5" t="s">
        <v>69</v>
      </c>
      <c r="E18" s="5" t="s">
        <v>70</v>
      </c>
      <c r="F18" s="5" t="s">
        <v>45</v>
      </c>
      <c r="G18" s="5" t="s">
        <v>71</v>
      </c>
      <c r="H18" s="5" t="s">
        <v>19</v>
      </c>
    </row>
    <row r="19" customFormat="false" ht="15" hidden="false" customHeight="false" outlineLevel="0" collapsed="false">
      <c r="A19" s="6" t="s">
        <v>72</v>
      </c>
      <c r="B19" s="6" t="s">
        <v>45</v>
      </c>
      <c r="C19" s="6" t="s">
        <v>73</v>
      </c>
      <c r="D19" s="6" t="s">
        <v>74</v>
      </c>
      <c r="E19" s="6" t="s">
        <v>75</v>
      </c>
      <c r="F19" s="6" t="s">
        <v>25</v>
      </c>
      <c r="G19" s="6" t="s">
        <v>71</v>
      </c>
      <c r="H19" s="6" t="s">
        <v>19</v>
      </c>
    </row>
  </sheetData>
  <mergeCells count="4">
    <mergeCell ref="A1:H1"/>
    <mergeCell ref="A2:H2"/>
    <mergeCell ref="A4:H4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77F2"/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5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6" min="6" style="0" width="45"/>
    <col collapsed="false" customWidth="true" hidden="false" outlineLevel="0" max="7" min="7" style="0" width="25"/>
    <col collapsed="false" customWidth="true" hidden="false" outlineLevel="0" max="8" min="8" style="0" width="22"/>
    <col collapsed="false" customWidth="true" hidden="false" outlineLevel="0" max="9" min="9" style="0" width="40"/>
    <col collapsed="false" customWidth="true" hidden="false" outlineLevel="0" max="10" min="10" style="0" width="50"/>
    <col collapsed="false" customWidth="true" hidden="false" outlineLevel="0" max="11" min="11" style="0" width="20"/>
    <col collapsed="false" customWidth="true" hidden="false" outlineLevel="0" max="12" min="12" style="0" width="40"/>
  </cols>
  <sheetData>
    <row r="1" customFormat="false" ht="34.5" hidden="false" customHeight="true" outlineLevel="0" collapsed="false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4" t="s">
        <v>77</v>
      </c>
      <c r="B3" s="4" t="s">
        <v>32</v>
      </c>
      <c r="C3" s="4" t="s">
        <v>78</v>
      </c>
      <c r="D3" s="4" t="s">
        <v>79</v>
      </c>
      <c r="E3" s="4" t="s">
        <v>80</v>
      </c>
      <c r="F3" s="4" t="s">
        <v>81</v>
      </c>
      <c r="G3" s="4" t="s">
        <v>82</v>
      </c>
      <c r="H3" s="4" t="s">
        <v>83</v>
      </c>
      <c r="I3" s="4" t="s">
        <v>84</v>
      </c>
      <c r="J3" s="4" t="s">
        <v>85</v>
      </c>
      <c r="K3" s="4" t="s">
        <v>86</v>
      </c>
      <c r="L3" s="4" t="s">
        <v>87</v>
      </c>
    </row>
    <row r="4" customFormat="false" ht="15" hidden="false" customHeight="false" outlineLevel="0" collapsed="false">
      <c r="A4" s="11" t="s">
        <v>88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68.65" hidden="false" customHeight="false" outlineLevel="0" collapsed="false">
      <c r="A5" s="5" t="s">
        <v>89</v>
      </c>
      <c r="B5" s="5" t="s">
        <v>90</v>
      </c>
      <c r="C5" s="5" t="s">
        <v>91</v>
      </c>
      <c r="D5" s="5" t="s">
        <v>92</v>
      </c>
      <c r="E5" s="5" t="s">
        <v>93</v>
      </c>
      <c r="F5" s="5" t="s">
        <v>94</v>
      </c>
      <c r="G5" s="5" t="s">
        <v>95</v>
      </c>
      <c r="H5" s="5" t="s">
        <v>96</v>
      </c>
      <c r="I5" s="5" t="s">
        <v>97</v>
      </c>
      <c r="J5" s="5" t="s">
        <v>98</v>
      </c>
      <c r="K5" s="5" t="s">
        <v>99</v>
      </c>
      <c r="L5" s="5" t="s">
        <v>100</v>
      </c>
    </row>
    <row r="6" customFormat="false" ht="46.25" hidden="false" customHeight="false" outlineLevel="0" collapsed="false">
      <c r="A6" s="6" t="s">
        <v>101</v>
      </c>
      <c r="B6" s="6" t="s">
        <v>102</v>
      </c>
      <c r="C6" s="6" t="s">
        <v>103</v>
      </c>
      <c r="D6" s="6" t="s">
        <v>92</v>
      </c>
      <c r="E6" s="6" t="s">
        <v>104</v>
      </c>
      <c r="F6" s="6" t="s">
        <v>105</v>
      </c>
      <c r="G6" s="6" t="s">
        <v>106</v>
      </c>
      <c r="H6" s="6" t="s">
        <v>107</v>
      </c>
      <c r="I6" s="6" t="s">
        <v>108</v>
      </c>
      <c r="J6" s="6" t="s">
        <v>109</v>
      </c>
      <c r="K6" s="6" t="s">
        <v>110</v>
      </c>
      <c r="L6" s="6" t="s">
        <v>111</v>
      </c>
    </row>
    <row r="7" customFormat="false" ht="15" hidden="false" customHeight="false" outlineLevel="0" collapsed="false">
      <c r="A7" s="11" t="s">
        <v>112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customFormat="false" ht="57.45" hidden="false" customHeight="false" outlineLevel="0" collapsed="false">
      <c r="A8" s="6" t="s">
        <v>113</v>
      </c>
      <c r="B8" s="6" t="s">
        <v>114</v>
      </c>
      <c r="C8" s="6" t="s">
        <v>115</v>
      </c>
      <c r="D8" s="6" t="s">
        <v>116</v>
      </c>
      <c r="E8" s="6" t="s">
        <v>117</v>
      </c>
      <c r="F8" s="6" t="s">
        <v>118</v>
      </c>
      <c r="G8" s="6" t="s">
        <v>119</v>
      </c>
      <c r="H8" s="6" t="s">
        <v>120</v>
      </c>
      <c r="I8" s="6" t="s">
        <v>121</v>
      </c>
      <c r="J8" s="6" t="s">
        <v>122</v>
      </c>
      <c r="K8" s="6" t="s">
        <v>123</v>
      </c>
      <c r="L8" s="6" t="s">
        <v>124</v>
      </c>
    </row>
    <row r="9" customFormat="false" ht="46.25" hidden="false" customHeight="false" outlineLevel="0" collapsed="false">
      <c r="A9" s="5" t="s">
        <v>125</v>
      </c>
      <c r="B9" s="5" t="s">
        <v>126</v>
      </c>
      <c r="C9" s="5" t="s">
        <v>115</v>
      </c>
      <c r="D9" s="5" t="s">
        <v>127</v>
      </c>
      <c r="E9" s="5" t="s">
        <v>128</v>
      </c>
      <c r="F9" s="5" t="s">
        <v>129</v>
      </c>
      <c r="G9" s="5" t="s">
        <v>130</v>
      </c>
      <c r="H9" s="5" t="s">
        <v>131</v>
      </c>
      <c r="I9" s="5" t="s">
        <v>132</v>
      </c>
      <c r="J9" s="5" t="s">
        <v>133</v>
      </c>
      <c r="K9" s="5" t="s">
        <v>134</v>
      </c>
      <c r="L9" s="5" t="s">
        <v>135</v>
      </c>
    </row>
    <row r="10" customFormat="false" ht="46.25" hidden="false" customHeight="false" outlineLevel="0" collapsed="false">
      <c r="A10" s="6" t="s">
        <v>136</v>
      </c>
      <c r="B10" s="6" t="s">
        <v>137</v>
      </c>
      <c r="C10" s="6" t="s">
        <v>115</v>
      </c>
      <c r="D10" s="6" t="s">
        <v>138</v>
      </c>
      <c r="E10" s="6" t="s">
        <v>139</v>
      </c>
      <c r="F10" s="6" t="s">
        <v>140</v>
      </c>
      <c r="G10" s="6" t="s">
        <v>141</v>
      </c>
      <c r="H10" s="6" t="s">
        <v>142</v>
      </c>
      <c r="I10" s="6" t="s">
        <v>143</v>
      </c>
      <c r="J10" s="6" t="s">
        <v>144</v>
      </c>
      <c r="K10" s="6" t="s">
        <v>145</v>
      </c>
      <c r="L10" s="6" t="s">
        <v>146</v>
      </c>
    </row>
    <row r="11" customFormat="false" ht="46.25" hidden="false" customHeight="false" outlineLevel="0" collapsed="false">
      <c r="A11" s="5" t="s">
        <v>147</v>
      </c>
      <c r="B11" s="5" t="s">
        <v>148</v>
      </c>
      <c r="C11" s="5" t="s">
        <v>115</v>
      </c>
      <c r="D11" s="5" t="s">
        <v>149</v>
      </c>
      <c r="E11" s="5" t="s">
        <v>128</v>
      </c>
      <c r="F11" s="5" t="s">
        <v>150</v>
      </c>
      <c r="G11" s="5" t="s">
        <v>151</v>
      </c>
      <c r="H11" s="5" t="s">
        <v>152</v>
      </c>
      <c r="I11" s="5" t="s">
        <v>153</v>
      </c>
      <c r="J11" s="5" t="s">
        <v>154</v>
      </c>
      <c r="K11" s="5" t="s">
        <v>155</v>
      </c>
      <c r="L11" s="5" t="s">
        <v>156</v>
      </c>
    </row>
    <row r="12" customFormat="false" ht="46.25" hidden="false" customHeight="false" outlineLevel="0" collapsed="false">
      <c r="A12" s="6" t="s">
        <v>157</v>
      </c>
      <c r="B12" s="6" t="s">
        <v>158</v>
      </c>
      <c r="C12" s="6" t="s">
        <v>159</v>
      </c>
      <c r="D12" s="6" t="s">
        <v>160</v>
      </c>
      <c r="E12" s="6" t="s">
        <v>161</v>
      </c>
      <c r="F12" s="6" t="s">
        <v>162</v>
      </c>
      <c r="G12" s="6" t="s">
        <v>163</v>
      </c>
      <c r="H12" s="6" t="s">
        <v>131</v>
      </c>
      <c r="I12" s="6" t="s">
        <v>164</v>
      </c>
      <c r="J12" s="6" t="s">
        <v>165</v>
      </c>
      <c r="K12" s="6" t="s">
        <v>166</v>
      </c>
      <c r="L12" s="6" t="s">
        <v>167</v>
      </c>
    </row>
    <row r="13" customFormat="false" ht="15" hidden="false" customHeight="false" outlineLevel="0" collapsed="false">
      <c r="A13" s="11" t="s">
        <v>168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customFormat="false" ht="46.25" hidden="false" customHeight="false" outlineLevel="0" collapsed="false">
      <c r="A14" s="6" t="s">
        <v>169</v>
      </c>
      <c r="B14" s="6" t="s">
        <v>170</v>
      </c>
      <c r="C14" s="6" t="s">
        <v>115</v>
      </c>
      <c r="D14" s="6" t="s">
        <v>171</v>
      </c>
      <c r="E14" s="6" t="s">
        <v>139</v>
      </c>
      <c r="F14" s="6" t="s">
        <v>172</v>
      </c>
      <c r="G14" s="6" t="s">
        <v>173</v>
      </c>
      <c r="H14" s="6" t="s">
        <v>120</v>
      </c>
      <c r="I14" s="6" t="s">
        <v>174</v>
      </c>
      <c r="J14" s="6" t="s">
        <v>175</v>
      </c>
      <c r="K14" s="6" t="s">
        <v>176</v>
      </c>
      <c r="L14" s="6" t="s">
        <v>177</v>
      </c>
    </row>
    <row r="15" customFormat="false" ht="46.25" hidden="false" customHeight="false" outlineLevel="0" collapsed="false">
      <c r="A15" s="5" t="s">
        <v>178</v>
      </c>
      <c r="B15" s="5" t="s">
        <v>179</v>
      </c>
      <c r="C15" s="5" t="s">
        <v>115</v>
      </c>
      <c r="D15" s="5" t="s">
        <v>171</v>
      </c>
      <c r="E15" s="5" t="s">
        <v>180</v>
      </c>
      <c r="F15" s="5" t="s">
        <v>181</v>
      </c>
      <c r="G15" s="5" t="s">
        <v>182</v>
      </c>
      <c r="H15" s="5" t="s">
        <v>142</v>
      </c>
      <c r="I15" s="5" t="s">
        <v>183</v>
      </c>
      <c r="J15" s="5" t="s">
        <v>184</v>
      </c>
      <c r="K15" s="5" t="s">
        <v>185</v>
      </c>
      <c r="L15" s="5" t="s">
        <v>186</v>
      </c>
    </row>
    <row r="16" customFormat="false" ht="46.25" hidden="false" customHeight="false" outlineLevel="0" collapsed="false">
      <c r="A16" s="6" t="s">
        <v>187</v>
      </c>
      <c r="B16" s="6" t="s">
        <v>188</v>
      </c>
      <c r="C16" s="6" t="s">
        <v>189</v>
      </c>
      <c r="D16" s="6" t="s">
        <v>190</v>
      </c>
      <c r="E16" s="6" t="s">
        <v>191</v>
      </c>
      <c r="F16" s="6" t="s">
        <v>192</v>
      </c>
      <c r="G16" s="6" t="s">
        <v>193</v>
      </c>
      <c r="H16" s="6" t="s">
        <v>194</v>
      </c>
      <c r="I16" s="6" t="s">
        <v>195</v>
      </c>
      <c r="J16" s="6" t="s">
        <v>196</v>
      </c>
      <c r="K16" s="6" t="s">
        <v>197</v>
      </c>
      <c r="L16" s="6" t="s">
        <v>198</v>
      </c>
    </row>
    <row r="17" customFormat="false" ht="35.05" hidden="false" customHeight="false" outlineLevel="0" collapsed="false">
      <c r="A17" s="5" t="s">
        <v>199</v>
      </c>
      <c r="B17" s="5" t="s">
        <v>72</v>
      </c>
      <c r="C17" s="5" t="s">
        <v>200</v>
      </c>
      <c r="D17" s="5" t="s">
        <v>201</v>
      </c>
      <c r="E17" s="5" t="s">
        <v>202</v>
      </c>
      <c r="F17" s="5" t="s">
        <v>203</v>
      </c>
      <c r="G17" s="5" t="s">
        <v>204</v>
      </c>
      <c r="H17" s="5" t="s">
        <v>131</v>
      </c>
      <c r="I17" s="5" t="s">
        <v>205</v>
      </c>
      <c r="J17" s="5" t="s">
        <v>206</v>
      </c>
      <c r="K17" s="5" t="s">
        <v>207</v>
      </c>
      <c r="L17" s="5" t="s">
        <v>208</v>
      </c>
    </row>
    <row r="18" customFormat="false" ht="46.25" hidden="false" customHeight="false" outlineLevel="0" collapsed="false">
      <c r="A18" s="6" t="s">
        <v>209</v>
      </c>
      <c r="B18" s="6" t="s">
        <v>210</v>
      </c>
      <c r="C18" s="6" t="s">
        <v>189</v>
      </c>
      <c r="D18" s="6" t="s">
        <v>211</v>
      </c>
      <c r="E18" s="6" t="s">
        <v>128</v>
      </c>
      <c r="F18" s="6" t="s">
        <v>212</v>
      </c>
      <c r="G18" s="6" t="s">
        <v>213</v>
      </c>
      <c r="H18" s="6" t="s">
        <v>214</v>
      </c>
      <c r="I18" s="6" t="s">
        <v>215</v>
      </c>
      <c r="J18" s="6" t="s">
        <v>216</v>
      </c>
      <c r="K18" s="6" t="s">
        <v>217</v>
      </c>
      <c r="L18" s="6" t="s">
        <v>218</v>
      </c>
    </row>
    <row r="19" customFormat="false" ht="35.05" hidden="false" customHeight="false" outlineLevel="0" collapsed="false">
      <c r="A19" s="5" t="s">
        <v>219</v>
      </c>
      <c r="B19" s="5" t="s">
        <v>55</v>
      </c>
      <c r="C19" s="5" t="s">
        <v>220</v>
      </c>
      <c r="D19" s="5" t="s">
        <v>221</v>
      </c>
      <c r="E19" s="5" t="s">
        <v>202</v>
      </c>
      <c r="F19" s="5" t="s">
        <v>222</v>
      </c>
      <c r="G19" s="5" t="s">
        <v>223</v>
      </c>
      <c r="H19" s="5" t="s">
        <v>224</v>
      </c>
      <c r="I19" s="5" t="s">
        <v>225</v>
      </c>
      <c r="J19" s="5" t="s">
        <v>226</v>
      </c>
      <c r="K19" s="5" t="s">
        <v>227</v>
      </c>
      <c r="L19" s="5" t="s">
        <v>228</v>
      </c>
    </row>
    <row r="20" customFormat="false" ht="35.05" hidden="false" customHeight="false" outlineLevel="0" collapsed="false">
      <c r="A20" s="6" t="s">
        <v>229</v>
      </c>
      <c r="B20" s="6" t="s">
        <v>188</v>
      </c>
      <c r="C20" s="6" t="s">
        <v>200</v>
      </c>
      <c r="D20" s="6" t="s">
        <v>230</v>
      </c>
      <c r="E20" s="6" t="s">
        <v>231</v>
      </c>
      <c r="F20" s="6" t="s">
        <v>232</v>
      </c>
      <c r="G20" s="6" t="s">
        <v>233</v>
      </c>
      <c r="H20" s="6" t="s">
        <v>131</v>
      </c>
      <c r="I20" s="6" t="s">
        <v>234</v>
      </c>
      <c r="J20" s="6" t="s">
        <v>235</v>
      </c>
      <c r="K20" s="6" t="s">
        <v>236</v>
      </c>
      <c r="L20" s="6" t="s">
        <v>237</v>
      </c>
    </row>
    <row r="21" customFormat="false" ht="15" hidden="false" customHeight="false" outlineLevel="0" collapsed="false">
      <c r="A21" s="11" t="s">
        <v>238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customFormat="false" ht="46.25" hidden="false" customHeight="false" outlineLevel="0" collapsed="false">
      <c r="A22" s="6" t="s">
        <v>239</v>
      </c>
      <c r="B22" s="6" t="s">
        <v>126</v>
      </c>
      <c r="C22" s="6" t="s">
        <v>200</v>
      </c>
      <c r="D22" s="6" t="s">
        <v>240</v>
      </c>
      <c r="E22" s="6" t="s">
        <v>161</v>
      </c>
      <c r="F22" s="6" t="s">
        <v>241</v>
      </c>
      <c r="G22" s="6" t="s">
        <v>242</v>
      </c>
      <c r="H22" s="6" t="s">
        <v>131</v>
      </c>
      <c r="I22" s="6" t="s">
        <v>243</v>
      </c>
      <c r="J22" s="6" t="s">
        <v>244</v>
      </c>
      <c r="K22" s="6" t="s">
        <v>123</v>
      </c>
      <c r="L22" s="6" t="s">
        <v>245</v>
      </c>
    </row>
    <row r="23" customFormat="false" ht="23.85" hidden="false" customHeight="false" outlineLevel="0" collapsed="false">
      <c r="A23" s="5" t="s">
        <v>246</v>
      </c>
      <c r="B23" s="5" t="s">
        <v>148</v>
      </c>
      <c r="C23" s="5" t="s">
        <v>200</v>
      </c>
      <c r="D23" s="5" t="s">
        <v>247</v>
      </c>
      <c r="E23" s="5" t="s">
        <v>231</v>
      </c>
      <c r="F23" s="5" t="s">
        <v>248</v>
      </c>
      <c r="G23" s="5" t="s">
        <v>249</v>
      </c>
      <c r="H23" s="5" t="s">
        <v>152</v>
      </c>
      <c r="I23" s="5" t="s">
        <v>250</v>
      </c>
      <c r="J23" s="5" t="s">
        <v>251</v>
      </c>
      <c r="K23" s="5" t="s">
        <v>252</v>
      </c>
      <c r="L23" s="5" t="s">
        <v>253</v>
      </c>
    </row>
    <row r="24" customFormat="false" ht="35.05" hidden="false" customHeight="false" outlineLevel="0" collapsed="false">
      <c r="A24" s="6" t="s">
        <v>254</v>
      </c>
      <c r="B24" s="6" t="s">
        <v>255</v>
      </c>
      <c r="C24" s="6" t="s">
        <v>200</v>
      </c>
      <c r="D24" s="6" t="s">
        <v>256</v>
      </c>
      <c r="E24" s="6" t="s">
        <v>231</v>
      </c>
      <c r="F24" s="6" t="s">
        <v>257</v>
      </c>
      <c r="G24" s="6" t="s">
        <v>258</v>
      </c>
      <c r="H24" s="6" t="s">
        <v>142</v>
      </c>
      <c r="I24" s="6" t="s">
        <v>259</v>
      </c>
      <c r="J24" s="6" t="s">
        <v>260</v>
      </c>
      <c r="K24" s="6" t="s">
        <v>261</v>
      </c>
      <c r="L24" s="6" t="s">
        <v>262</v>
      </c>
    </row>
    <row r="25" customFormat="false" ht="15" hidden="false" customHeight="false" outlineLevel="0" collapsed="false">
      <c r="A25" s="11" t="s">
        <v>263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customFormat="false" ht="46.25" hidden="false" customHeight="false" outlineLevel="0" collapsed="false">
      <c r="A26" s="6" t="s">
        <v>264</v>
      </c>
      <c r="B26" s="6" t="s">
        <v>158</v>
      </c>
      <c r="C26" s="6" t="s">
        <v>189</v>
      </c>
      <c r="D26" s="6" t="s">
        <v>265</v>
      </c>
      <c r="E26" s="6" t="s">
        <v>266</v>
      </c>
      <c r="F26" s="6" t="s">
        <v>267</v>
      </c>
      <c r="G26" s="6" t="s">
        <v>268</v>
      </c>
      <c r="H26" s="6" t="s">
        <v>269</v>
      </c>
      <c r="I26" s="6" t="s">
        <v>270</v>
      </c>
      <c r="J26" s="6" t="s">
        <v>271</v>
      </c>
      <c r="K26" s="6" t="s">
        <v>272</v>
      </c>
      <c r="L26" s="6" t="s">
        <v>273</v>
      </c>
    </row>
    <row r="27" customFormat="false" ht="35.05" hidden="false" customHeight="false" outlineLevel="0" collapsed="false">
      <c r="A27" s="5" t="s">
        <v>274</v>
      </c>
      <c r="B27" s="5" t="s">
        <v>275</v>
      </c>
      <c r="C27" s="5" t="s">
        <v>220</v>
      </c>
      <c r="D27" s="5" t="s">
        <v>276</v>
      </c>
      <c r="E27" s="5" t="s">
        <v>139</v>
      </c>
      <c r="F27" s="5" t="s">
        <v>277</v>
      </c>
      <c r="G27" s="5" t="s">
        <v>278</v>
      </c>
      <c r="H27" s="5" t="s">
        <v>142</v>
      </c>
      <c r="I27" s="5" t="s">
        <v>279</v>
      </c>
      <c r="J27" s="5" t="s">
        <v>280</v>
      </c>
      <c r="K27" s="5" t="s">
        <v>281</v>
      </c>
      <c r="L27" s="5" t="s">
        <v>282</v>
      </c>
    </row>
    <row r="28" customFormat="false" ht="35.05" hidden="false" customHeight="false" outlineLevel="0" collapsed="false">
      <c r="A28" s="6" t="s">
        <v>283</v>
      </c>
      <c r="B28" s="6" t="s">
        <v>179</v>
      </c>
      <c r="C28" s="6" t="s">
        <v>200</v>
      </c>
      <c r="D28" s="6" t="s">
        <v>284</v>
      </c>
      <c r="E28" s="6" t="s">
        <v>128</v>
      </c>
      <c r="F28" s="6" t="s">
        <v>285</v>
      </c>
      <c r="G28" s="6" t="s">
        <v>286</v>
      </c>
      <c r="H28" s="6" t="s">
        <v>131</v>
      </c>
      <c r="I28" s="6" t="s">
        <v>287</v>
      </c>
      <c r="J28" s="6" t="s">
        <v>288</v>
      </c>
      <c r="K28" s="6" t="s">
        <v>289</v>
      </c>
      <c r="L28" s="6" t="s">
        <v>290</v>
      </c>
    </row>
    <row r="29" customFormat="false" ht="35.05" hidden="false" customHeight="false" outlineLevel="0" collapsed="false">
      <c r="A29" s="5" t="s">
        <v>291</v>
      </c>
      <c r="B29" s="5" t="s">
        <v>292</v>
      </c>
      <c r="C29" s="5" t="s">
        <v>159</v>
      </c>
      <c r="D29" s="5" t="s">
        <v>293</v>
      </c>
      <c r="E29" s="5" t="s">
        <v>202</v>
      </c>
      <c r="F29" s="5" t="s">
        <v>294</v>
      </c>
      <c r="G29" s="5" t="s">
        <v>295</v>
      </c>
      <c r="H29" s="5" t="s">
        <v>224</v>
      </c>
      <c r="I29" s="5" t="s">
        <v>296</v>
      </c>
      <c r="J29" s="5" t="s">
        <v>297</v>
      </c>
      <c r="K29" s="5" t="s">
        <v>298</v>
      </c>
      <c r="L29" s="5" t="s">
        <v>299</v>
      </c>
    </row>
    <row r="30" customFormat="false" ht="46.25" hidden="false" customHeight="false" outlineLevel="0" collapsed="false">
      <c r="A30" s="6" t="s">
        <v>300</v>
      </c>
      <c r="B30" s="6" t="s">
        <v>158</v>
      </c>
      <c r="C30" s="6" t="s">
        <v>220</v>
      </c>
      <c r="D30" s="6" t="s">
        <v>301</v>
      </c>
      <c r="E30" s="6" t="s">
        <v>231</v>
      </c>
      <c r="F30" s="6" t="s">
        <v>302</v>
      </c>
      <c r="G30" s="6" t="s">
        <v>303</v>
      </c>
      <c r="H30" s="6" t="s">
        <v>142</v>
      </c>
      <c r="I30" s="6" t="s">
        <v>304</v>
      </c>
      <c r="J30" s="6" t="s">
        <v>305</v>
      </c>
      <c r="K30" s="6" t="s">
        <v>306</v>
      </c>
      <c r="L30" s="6" t="s">
        <v>307</v>
      </c>
    </row>
  </sheetData>
  <mergeCells count="6">
    <mergeCell ref="A1:L1"/>
    <mergeCell ref="A4:L4"/>
    <mergeCell ref="A7:L7"/>
    <mergeCell ref="A13:L13"/>
    <mergeCell ref="A21:L21"/>
    <mergeCell ref="A25:L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285F4"/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5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6" min="6" style="0" width="45"/>
    <col collapsed="false" customWidth="true" hidden="false" outlineLevel="0" max="7" min="7" style="0" width="35"/>
    <col collapsed="false" customWidth="true" hidden="false" outlineLevel="0" max="10" min="8" style="0" width="30"/>
    <col collapsed="false" customWidth="true" hidden="false" outlineLevel="0" max="11" min="11" style="0" width="50"/>
  </cols>
  <sheetData>
    <row r="1" customFormat="false" ht="34.5" hidden="false" customHeight="true" outlineLevel="0" collapsed="false">
      <c r="A1" s="1" t="s">
        <v>308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4" t="s">
        <v>309</v>
      </c>
      <c r="B3" s="4" t="s">
        <v>32</v>
      </c>
      <c r="C3" s="4" t="s">
        <v>310</v>
      </c>
      <c r="D3" s="4" t="s">
        <v>79</v>
      </c>
      <c r="E3" s="4" t="s">
        <v>80</v>
      </c>
      <c r="F3" s="4" t="s">
        <v>311</v>
      </c>
      <c r="G3" s="4" t="s">
        <v>312</v>
      </c>
      <c r="H3" s="4" t="s">
        <v>313</v>
      </c>
      <c r="I3" s="4" t="s">
        <v>314</v>
      </c>
      <c r="J3" s="4" t="s">
        <v>315</v>
      </c>
      <c r="K3" s="4" t="s">
        <v>316</v>
      </c>
    </row>
    <row r="4" customFormat="false" ht="15" hidden="false" customHeight="false" outlineLevel="0" collapsed="false">
      <c r="A4" s="11" t="s">
        <v>317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customFormat="false" ht="57.45" hidden="false" customHeight="false" outlineLevel="0" collapsed="false">
      <c r="A5" s="5" t="s">
        <v>318</v>
      </c>
      <c r="B5" s="5" t="s">
        <v>319</v>
      </c>
      <c r="C5" s="5" t="s">
        <v>320</v>
      </c>
      <c r="D5" s="5" t="s">
        <v>321</v>
      </c>
      <c r="E5" s="5" t="s">
        <v>322</v>
      </c>
      <c r="F5" s="5" t="s">
        <v>323</v>
      </c>
      <c r="G5" s="5" t="s">
        <v>324</v>
      </c>
      <c r="H5" s="5" t="s">
        <v>325</v>
      </c>
      <c r="I5" s="5" t="s">
        <v>326</v>
      </c>
      <c r="J5" s="5" t="s">
        <v>327</v>
      </c>
      <c r="K5" s="5" t="s">
        <v>328</v>
      </c>
    </row>
    <row r="6" customFormat="false" ht="91" hidden="false" customHeight="false" outlineLevel="0" collapsed="false">
      <c r="A6" s="6" t="s">
        <v>329</v>
      </c>
      <c r="B6" s="6" t="s">
        <v>275</v>
      </c>
      <c r="C6" s="6" t="s">
        <v>320</v>
      </c>
      <c r="D6" s="6" t="s">
        <v>330</v>
      </c>
      <c r="E6" s="6" t="s">
        <v>331</v>
      </c>
      <c r="F6" s="6" t="s">
        <v>332</v>
      </c>
      <c r="G6" s="6" t="s">
        <v>333</v>
      </c>
      <c r="H6" s="6" t="s">
        <v>334</v>
      </c>
      <c r="I6" s="6" t="s">
        <v>335</v>
      </c>
      <c r="J6" s="6" t="s">
        <v>336</v>
      </c>
      <c r="K6" s="6" t="s">
        <v>337</v>
      </c>
    </row>
    <row r="7" customFormat="false" ht="79.85" hidden="false" customHeight="false" outlineLevel="0" collapsed="false">
      <c r="A7" s="5" t="s">
        <v>338</v>
      </c>
      <c r="B7" s="5" t="s">
        <v>339</v>
      </c>
      <c r="C7" s="5" t="s">
        <v>320</v>
      </c>
      <c r="D7" s="5" t="s">
        <v>340</v>
      </c>
      <c r="E7" s="5" t="s">
        <v>341</v>
      </c>
      <c r="F7" s="5" t="s">
        <v>342</v>
      </c>
      <c r="G7" s="5" t="s">
        <v>343</v>
      </c>
      <c r="H7" s="5" t="s">
        <v>344</v>
      </c>
      <c r="I7" s="5" t="s">
        <v>345</v>
      </c>
      <c r="J7" s="5" t="s">
        <v>346</v>
      </c>
      <c r="K7" s="5" t="s">
        <v>347</v>
      </c>
    </row>
    <row r="8" customFormat="false" ht="68.65" hidden="false" customHeight="false" outlineLevel="0" collapsed="false">
      <c r="A8" s="6" t="s">
        <v>348</v>
      </c>
      <c r="B8" s="6" t="s">
        <v>148</v>
      </c>
      <c r="C8" s="6" t="s">
        <v>320</v>
      </c>
      <c r="D8" s="6" t="s">
        <v>349</v>
      </c>
      <c r="E8" s="6" t="s">
        <v>350</v>
      </c>
      <c r="F8" s="6" t="s">
        <v>351</v>
      </c>
      <c r="G8" s="6" t="s">
        <v>352</v>
      </c>
      <c r="H8" s="6" t="s">
        <v>353</v>
      </c>
      <c r="I8" s="6" t="s">
        <v>354</v>
      </c>
      <c r="J8" s="6" t="s">
        <v>355</v>
      </c>
      <c r="K8" s="6" t="s">
        <v>356</v>
      </c>
    </row>
    <row r="9" customFormat="false" ht="79.85" hidden="false" customHeight="false" outlineLevel="0" collapsed="false">
      <c r="A9" s="5" t="s">
        <v>357</v>
      </c>
      <c r="B9" s="5" t="s">
        <v>358</v>
      </c>
      <c r="C9" s="5" t="s">
        <v>320</v>
      </c>
      <c r="D9" s="5" t="s">
        <v>359</v>
      </c>
      <c r="E9" s="5" t="s">
        <v>350</v>
      </c>
      <c r="F9" s="5" t="s">
        <v>360</v>
      </c>
      <c r="G9" s="5" t="s">
        <v>361</v>
      </c>
      <c r="H9" s="5" t="s">
        <v>362</v>
      </c>
      <c r="I9" s="5" t="s">
        <v>363</v>
      </c>
      <c r="J9" s="5" t="s">
        <v>364</v>
      </c>
      <c r="K9" s="5" t="s">
        <v>365</v>
      </c>
    </row>
    <row r="10" customFormat="false" ht="68.65" hidden="false" customHeight="false" outlineLevel="0" collapsed="false">
      <c r="A10" s="6" t="s">
        <v>366</v>
      </c>
      <c r="B10" s="6" t="s">
        <v>367</v>
      </c>
      <c r="C10" s="6" t="s">
        <v>320</v>
      </c>
      <c r="D10" s="6" t="s">
        <v>368</v>
      </c>
      <c r="E10" s="6" t="s">
        <v>369</v>
      </c>
      <c r="F10" s="6" t="s">
        <v>370</v>
      </c>
      <c r="G10" s="6" t="s">
        <v>371</v>
      </c>
      <c r="H10" s="6" t="s">
        <v>187</v>
      </c>
      <c r="I10" s="6" t="s">
        <v>346</v>
      </c>
      <c r="J10" s="6" t="s">
        <v>372</v>
      </c>
      <c r="K10" s="6" t="s">
        <v>373</v>
      </c>
    </row>
    <row r="11" customFormat="false" ht="57.45" hidden="false" customHeight="false" outlineLevel="0" collapsed="false">
      <c r="A11" s="5" t="s">
        <v>374</v>
      </c>
      <c r="B11" s="5" t="s">
        <v>375</v>
      </c>
      <c r="C11" s="5" t="s">
        <v>320</v>
      </c>
      <c r="D11" s="5" t="s">
        <v>376</v>
      </c>
      <c r="E11" s="5" t="s">
        <v>377</v>
      </c>
      <c r="F11" s="5" t="s">
        <v>378</v>
      </c>
      <c r="G11" s="5" t="s">
        <v>379</v>
      </c>
      <c r="H11" s="5" t="s">
        <v>380</v>
      </c>
      <c r="I11" s="5" t="s">
        <v>381</v>
      </c>
      <c r="J11" s="5" t="s">
        <v>382</v>
      </c>
      <c r="K11" s="5" t="s">
        <v>383</v>
      </c>
    </row>
    <row r="12" customFormat="false" ht="15" hidden="false" customHeight="false" outlineLevel="0" collapsed="false">
      <c r="A12" s="11" t="s">
        <v>384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customFormat="false" ht="46.25" hidden="false" customHeight="false" outlineLevel="0" collapsed="false">
      <c r="A13" s="5" t="s">
        <v>385</v>
      </c>
      <c r="B13" s="5" t="s">
        <v>319</v>
      </c>
      <c r="C13" s="5" t="s">
        <v>386</v>
      </c>
      <c r="D13" s="5" t="s">
        <v>321</v>
      </c>
      <c r="E13" s="5" t="s">
        <v>104</v>
      </c>
      <c r="F13" s="5" t="s">
        <v>387</v>
      </c>
      <c r="G13" s="5" t="s">
        <v>388</v>
      </c>
      <c r="H13" s="5" t="s">
        <v>389</v>
      </c>
      <c r="I13" s="5" t="s">
        <v>390</v>
      </c>
      <c r="J13" s="5" t="s">
        <v>391</v>
      </c>
      <c r="K13" s="5" t="s">
        <v>392</v>
      </c>
    </row>
    <row r="14" customFormat="false" ht="46.25" hidden="false" customHeight="false" outlineLevel="0" collapsed="false">
      <c r="A14" s="6" t="s">
        <v>393</v>
      </c>
      <c r="B14" s="6" t="s">
        <v>394</v>
      </c>
      <c r="C14" s="6" t="s">
        <v>395</v>
      </c>
      <c r="D14" s="6" t="s">
        <v>330</v>
      </c>
      <c r="E14" s="6" t="s">
        <v>396</v>
      </c>
      <c r="F14" s="6" t="s">
        <v>397</v>
      </c>
      <c r="G14" s="6" t="s">
        <v>388</v>
      </c>
      <c r="H14" s="6" t="s">
        <v>398</v>
      </c>
      <c r="I14" s="6" t="s">
        <v>344</v>
      </c>
      <c r="J14" s="6" t="s">
        <v>399</v>
      </c>
      <c r="K14" s="6" t="s">
        <v>400</v>
      </c>
    </row>
    <row r="16" customFormat="false" ht="15" hidden="false" customHeight="false" outlineLevel="0" collapsed="false">
      <c r="A16" s="12" t="s">
        <v>401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customFormat="false" ht="15" hidden="false" customHeight="false" outlineLevel="0" collapsed="false">
      <c r="A17" s="13" t="s">
        <v>402</v>
      </c>
      <c r="B17" s="13" t="s">
        <v>403</v>
      </c>
      <c r="C17" s="13" t="s">
        <v>404</v>
      </c>
    </row>
    <row r="18" customFormat="false" ht="35.05" hidden="false" customHeight="false" outlineLevel="0" collapsed="false">
      <c r="A18" s="5" t="s">
        <v>405</v>
      </c>
      <c r="B18" s="5" t="s">
        <v>406</v>
      </c>
      <c r="C18" s="5" t="s">
        <v>407</v>
      </c>
    </row>
    <row r="19" customFormat="false" ht="46.25" hidden="false" customHeight="false" outlineLevel="0" collapsed="false">
      <c r="A19" s="6" t="s">
        <v>408</v>
      </c>
      <c r="B19" s="6" t="s">
        <v>409</v>
      </c>
      <c r="C19" s="6" t="s">
        <v>407</v>
      </c>
    </row>
    <row r="20" customFormat="false" ht="46.25" hidden="false" customHeight="false" outlineLevel="0" collapsed="false">
      <c r="A20" s="5" t="s">
        <v>410</v>
      </c>
      <c r="B20" s="5" t="s">
        <v>411</v>
      </c>
      <c r="C20" s="5" t="s">
        <v>412</v>
      </c>
    </row>
    <row r="21" customFormat="false" ht="23.85" hidden="false" customHeight="false" outlineLevel="0" collapsed="false">
      <c r="A21" s="6" t="s">
        <v>413</v>
      </c>
      <c r="B21" s="6" t="s">
        <v>414</v>
      </c>
      <c r="C21" s="6" t="s">
        <v>407</v>
      </c>
    </row>
    <row r="22" customFormat="false" ht="23.85" hidden="false" customHeight="false" outlineLevel="0" collapsed="false">
      <c r="A22" s="5" t="s">
        <v>415</v>
      </c>
      <c r="B22" s="5" t="s">
        <v>416</v>
      </c>
      <c r="C22" s="5" t="s">
        <v>417</v>
      </c>
    </row>
  </sheetData>
  <mergeCells count="4">
    <mergeCell ref="A1:K1"/>
    <mergeCell ref="A4:K4"/>
    <mergeCell ref="A12:K12"/>
    <mergeCell ref="A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A853"/>
    <pageSetUpPr fitToPage="false"/>
  </sheetPr>
  <dimension ref="A1:F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418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4" t="s">
        <v>32</v>
      </c>
      <c r="B3" s="4" t="s">
        <v>419</v>
      </c>
      <c r="C3" s="4" t="s">
        <v>420</v>
      </c>
      <c r="D3" s="4" t="s">
        <v>421</v>
      </c>
      <c r="E3" s="4" t="s">
        <v>422</v>
      </c>
      <c r="F3" s="4" t="s">
        <v>423</v>
      </c>
    </row>
    <row r="4" customFormat="false" ht="15" hidden="false" customHeight="false" outlineLevel="0" collapsed="false">
      <c r="A4" s="5" t="s">
        <v>40</v>
      </c>
      <c r="B4" s="5" t="s">
        <v>424</v>
      </c>
      <c r="C4" s="5" t="s">
        <v>425</v>
      </c>
      <c r="D4" s="5" t="s">
        <v>426</v>
      </c>
      <c r="E4" s="5" t="s">
        <v>427</v>
      </c>
      <c r="F4" s="10" t="s">
        <v>428</v>
      </c>
    </row>
    <row r="5" customFormat="false" ht="15" hidden="false" customHeight="false" outlineLevel="0" collapsed="false">
      <c r="A5" s="6" t="s">
        <v>40</v>
      </c>
      <c r="B5" s="6" t="s">
        <v>429</v>
      </c>
      <c r="C5" s="6" t="s">
        <v>430</v>
      </c>
      <c r="D5" s="6" t="s">
        <v>431</v>
      </c>
      <c r="E5" s="6" t="s">
        <v>432</v>
      </c>
      <c r="F5" s="6" t="s">
        <v>433</v>
      </c>
    </row>
    <row r="6" customFormat="false" ht="15" hidden="false" customHeight="false" outlineLevel="0" collapsed="false">
      <c r="A6" s="5" t="s">
        <v>40</v>
      </c>
      <c r="B6" s="5" t="s">
        <v>434</v>
      </c>
      <c r="C6" s="5" t="s">
        <v>425</v>
      </c>
      <c r="D6" s="5" t="s">
        <v>426</v>
      </c>
      <c r="E6" s="5" t="s">
        <v>432</v>
      </c>
      <c r="F6" s="10" t="s">
        <v>428</v>
      </c>
    </row>
    <row r="7" customFormat="false" ht="15" hidden="false" customHeight="false" outlineLevel="0" collapsed="false">
      <c r="A7" s="6" t="s">
        <v>40</v>
      </c>
      <c r="B7" s="6" t="s">
        <v>435</v>
      </c>
      <c r="C7" s="6" t="s">
        <v>436</v>
      </c>
      <c r="D7" s="6" t="s">
        <v>437</v>
      </c>
      <c r="E7" s="6" t="s">
        <v>432</v>
      </c>
      <c r="F7" s="6" t="s">
        <v>433</v>
      </c>
    </row>
    <row r="8" customFormat="false" ht="15" hidden="false" customHeight="false" outlineLevel="0" collapsed="false">
      <c r="A8" s="5" t="s">
        <v>40</v>
      </c>
      <c r="B8" s="5" t="s">
        <v>438</v>
      </c>
      <c r="C8" s="5" t="s">
        <v>430</v>
      </c>
      <c r="D8" s="5" t="s">
        <v>426</v>
      </c>
      <c r="E8" s="5" t="s">
        <v>427</v>
      </c>
      <c r="F8" s="10" t="s">
        <v>428</v>
      </c>
    </row>
    <row r="9" customFormat="false" ht="15" hidden="false" customHeight="false" outlineLevel="0" collapsed="false">
      <c r="A9" s="6" t="s">
        <v>40</v>
      </c>
      <c r="B9" s="6" t="s">
        <v>439</v>
      </c>
      <c r="C9" s="6" t="s">
        <v>425</v>
      </c>
      <c r="D9" s="6" t="s">
        <v>426</v>
      </c>
      <c r="E9" s="6" t="s">
        <v>432</v>
      </c>
      <c r="F9" s="14" t="s">
        <v>428</v>
      </c>
    </row>
    <row r="10" customFormat="false" ht="15" hidden="false" customHeight="false" outlineLevel="0" collapsed="false">
      <c r="A10" s="5" t="s">
        <v>40</v>
      </c>
      <c r="B10" s="5" t="s">
        <v>440</v>
      </c>
      <c r="C10" s="5" t="s">
        <v>425</v>
      </c>
      <c r="D10" s="5" t="s">
        <v>426</v>
      </c>
      <c r="E10" s="5" t="s">
        <v>432</v>
      </c>
      <c r="F10" s="5" t="s">
        <v>433</v>
      </c>
    </row>
    <row r="11" customFormat="false" ht="15" hidden="false" customHeight="false" outlineLevel="0" collapsed="false">
      <c r="A11" s="6" t="s">
        <v>40</v>
      </c>
      <c r="B11" s="6" t="s">
        <v>441</v>
      </c>
      <c r="C11" s="6" t="s">
        <v>425</v>
      </c>
      <c r="D11" s="6" t="s">
        <v>426</v>
      </c>
      <c r="E11" s="6" t="s">
        <v>442</v>
      </c>
      <c r="F11" s="14" t="s">
        <v>428</v>
      </c>
    </row>
    <row r="12" customFormat="false" ht="15" hidden="false" customHeight="false" outlineLevel="0" collapsed="false">
      <c r="A12" s="5" t="s">
        <v>40</v>
      </c>
      <c r="B12" s="5" t="s">
        <v>443</v>
      </c>
      <c r="C12" s="5" t="s">
        <v>430</v>
      </c>
      <c r="D12" s="5" t="s">
        <v>426</v>
      </c>
      <c r="E12" s="5" t="s">
        <v>442</v>
      </c>
      <c r="F12" s="5" t="s">
        <v>433</v>
      </c>
    </row>
    <row r="13" customFormat="false" ht="15" hidden="false" customHeight="false" outlineLevel="0" collapsed="false">
      <c r="A13" s="6" t="s">
        <v>40</v>
      </c>
      <c r="B13" s="6" t="s">
        <v>444</v>
      </c>
      <c r="C13" s="6" t="s">
        <v>430</v>
      </c>
      <c r="D13" s="6" t="s">
        <v>426</v>
      </c>
      <c r="E13" s="6" t="s">
        <v>432</v>
      </c>
      <c r="F13" s="14" t="s">
        <v>428</v>
      </c>
    </row>
    <row r="14" customFormat="false" ht="15" hidden="false" customHeight="false" outlineLevel="0" collapsed="false">
      <c r="A14" s="5" t="s">
        <v>40</v>
      </c>
      <c r="B14" s="5" t="s">
        <v>445</v>
      </c>
      <c r="C14" s="5" t="s">
        <v>430</v>
      </c>
      <c r="D14" s="5" t="s">
        <v>426</v>
      </c>
      <c r="E14" s="5" t="s">
        <v>432</v>
      </c>
      <c r="F14" s="10" t="s">
        <v>428</v>
      </c>
    </row>
    <row r="15" customFormat="false" ht="15" hidden="false" customHeight="false" outlineLevel="0" collapsed="false">
      <c r="A15" s="6" t="s">
        <v>40</v>
      </c>
      <c r="B15" s="6" t="s">
        <v>446</v>
      </c>
      <c r="C15" s="6" t="s">
        <v>430</v>
      </c>
      <c r="D15" s="6" t="s">
        <v>431</v>
      </c>
      <c r="E15" s="6" t="s">
        <v>427</v>
      </c>
      <c r="F15" s="6" t="s">
        <v>433</v>
      </c>
    </row>
    <row r="16" customFormat="false" ht="15" hidden="false" customHeight="false" outlineLevel="0" collapsed="false">
      <c r="A16" s="5" t="s">
        <v>40</v>
      </c>
      <c r="B16" s="5" t="s">
        <v>447</v>
      </c>
      <c r="C16" s="5" t="s">
        <v>425</v>
      </c>
      <c r="D16" s="5" t="s">
        <v>426</v>
      </c>
      <c r="E16" s="5" t="s">
        <v>442</v>
      </c>
      <c r="F16" s="5" t="s">
        <v>433</v>
      </c>
    </row>
    <row r="17" customFormat="false" ht="15" hidden="false" customHeight="false" outlineLevel="0" collapsed="false">
      <c r="A17" s="6" t="s">
        <v>55</v>
      </c>
      <c r="B17" s="6" t="s">
        <v>448</v>
      </c>
      <c r="C17" s="6" t="s">
        <v>425</v>
      </c>
      <c r="D17" s="6" t="s">
        <v>426</v>
      </c>
      <c r="E17" s="6" t="s">
        <v>427</v>
      </c>
      <c r="F17" s="14" t="s">
        <v>428</v>
      </c>
    </row>
    <row r="18" customFormat="false" ht="15" hidden="false" customHeight="false" outlineLevel="0" collapsed="false">
      <c r="A18" s="5" t="s">
        <v>55</v>
      </c>
      <c r="B18" s="5" t="s">
        <v>449</v>
      </c>
      <c r="C18" s="5" t="s">
        <v>425</v>
      </c>
      <c r="D18" s="5" t="s">
        <v>426</v>
      </c>
      <c r="E18" s="5" t="s">
        <v>427</v>
      </c>
      <c r="F18" s="10" t="s">
        <v>428</v>
      </c>
    </row>
    <row r="19" customFormat="false" ht="15" hidden="false" customHeight="false" outlineLevel="0" collapsed="false">
      <c r="A19" s="6" t="s">
        <v>55</v>
      </c>
      <c r="B19" s="6" t="s">
        <v>450</v>
      </c>
      <c r="C19" s="6" t="s">
        <v>430</v>
      </c>
      <c r="D19" s="6" t="s">
        <v>431</v>
      </c>
      <c r="E19" s="6" t="s">
        <v>427</v>
      </c>
      <c r="F19" s="14" t="s">
        <v>428</v>
      </c>
    </row>
    <row r="20" customFormat="false" ht="15" hidden="false" customHeight="false" outlineLevel="0" collapsed="false">
      <c r="A20" s="5" t="s">
        <v>55</v>
      </c>
      <c r="B20" s="5" t="s">
        <v>451</v>
      </c>
      <c r="C20" s="5" t="s">
        <v>436</v>
      </c>
      <c r="D20" s="5" t="s">
        <v>431</v>
      </c>
      <c r="E20" s="5" t="s">
        <v>427</v>
      </c>
      <c r="F20" s="5" t="s">
        <v>433</v>
      </c>
    </row>
    <row r="21" customFormat="false" ht="15" hidden="false" customHeight="false" outlineLevel="0" collapsed="false">
      <c r="A21" s="6" t="s">
        <v>55</v>
      </c>
      <c r="B21" s="6" t="s">
        <v>452</v>
      </c>
      <c r="C21" s="6" t="s">
        <v>430</v>
      </c>
      <c r="D21" s="6" t="s">
        <v>431</v>
      </c>
      <c r="E21" s="6" t="s">
        <v>432</v>
      </c>
      <c r="F21" s="14" t="s">
        <v>428</v>
      </c>
    </row>
    <row r="22" customFormat="false" ht="15" hidden="false" customHeight="false" outlineLevel="0" collapsed="false">
      <c r="A22" s="5" t="s">
        <v>55</v>
      </c>
      <c r="B22" s="5" t="s">
        <v>453</v>
      </c>
      <c r="C22" s="5" t="s">
        <v>425</v>
      </c>
      <c r="D22" s="5" t="s">
        <v>426</v>
      </c>
      <c r="E22" s="5" t="s">
        <v>432</v>
      </c>
      <c r="F22" s="5" t="s">
        <v>433</v>
      </c>
    </row>
    <row r="23" customFormat="false" ht="15" hidden="false" customHeight="false" outlineLevel="0" collapsed="false">
      <c r="A23" s="6" t="s">
        <v>55</v>
      </c>
      <c r="B23" s="6" t="s">
        <v>454</v>
      </c>
      <c r="C23" s="6" t="s">
        <v>430</v>
      </c>
      <c r="D23" s="6" t="s">
        <v>426</v>
      </c>
      <c r="E23" s="6" t="s">
        <v>432</v>
      </c>
      <c r="F23" s="14" t="s">
        <v>428</v>
      </c>
    </row>
    <row r="24" customFormat="false" ht="15" hidden="false" customHeight="false" outlineLevel="0" collapsed="false">
      <c r="A24" s="5" t="s">
        <v>55</v>
      </c>
      <c r="B24" s="5" t="s">
        <v>455</v>
      </c>
      <c r="C24" s="5" t="s">
        <v>430</v>
      </c>
      <c r="D24" s="5" t="s">
        <v>426</v>
      </c>
      <c r="E24" s="5" t="s">
        <v>427</v>
      </c>
      <c r="F24" s="10" t="s">
        <v>428</v>
      </c>
    </row>
    <row r="25" customFormat="false" ht="15" hidden="false" customHeight="false" outlineLevel="0" collapsed="false">
      <c r="A25" s="6" t="s">
        <v>55</v>
      </c>
      <c r="B25" s="6" t="s">
        <v>456</v>
      </c>
      <c r="C25" s="6" t="s">
        <v>430</v>
      </c>
      <c r="D25" s="6" t="s">
        <v>431</v>
      </c>
      <c r="E25" s="6" t="s">
        <v>442</v>
      </c>
      <c r="F25" s="6" t="s">
        <v>433</v>
      </c>
    </row>
    <row r="26" customFormat="false" ht="15" hidden="false" customHeight="false" outlineLevel="0" collapsed="false">
      <c r="A26" s="5" t="s">
        <v>55</v>
      </c>
      <c r="B26" s="5" t="s">
        <v>457</v>
      </c>
      <c r="C26" s="5" t="s">
        <v>425</v>
      </c>
      <c r="D26" s="5" t="s">
        <v>431</v>
      </c>
      <c r="E26" s="5" t="s">
        <v>432</v>
      </c>
      <c r="F26" s="5" t="s">
        <v>433</v>
      </c>
    </row>
    <row r="27" customFormat="false" ht="15" hidden="false" customHeight="false" outlineLevel="0" collapsed="false">
      <c r="A27" s="6" t="s">
        <v>55</v>
      </c>
      <c r="B27" s="6" t="s">
        <v>458</v>
      </c>
      <c r="C27" s="6" t="s">
        <v>430</v>
      </c>
      <c r="D27" s="6" t="s">
        <v>431</v>
      </c>
      <c r="E27" s="6" t="s">
        <v>432</v>
      </c>
      <c r="F27" s="14" t="s">
        <v>428</v>
      </c>
    </row>
    <row r="28" customFormat="false" ht="15" hidden="false" customHeight="false" outlineLevel="0" collapsed="false">
      <c r="A28" s="5" t="s">
        <v>55</v>
      </c>
      <c r="B28" s="5" t="s">
        <v>459</v>
      </c>
      <c r="C28" s="5" t="s">
        <v>430</v>
      </c>
      <c r="D28" s="5" t="s">
        <v>426</v>
      </c>
      <c r="E28" s="5" t="s">
        <v>432</v>
      </c>
      <c r="F28" s="10" t="s">
        <v>428</v>
      </c>
    </row>
    <row r="29" customFormat="false" ht="15" hidden="false" customHeight="false" outlineLevel="0" collapsed="false">
      <c r="A29" s="6" t="s">
        <v>48</v>
      </c>
      <c r="B29" s="6" t="s">
        <v>460</v>
      </c>
      <c r="C29" s="6" t="s">
        <v>425</v>
      </c>
      <c r="D29" s="6" t="s">
        <v>426</v>
      </c>
      <c r="E29" s="6" t="s">
        <v>427</v>
      </c>
      <c r="F29" s="14" t="s">
        <v>428</v>
      </c>
    </row>
    <row r="30" customFormat="false" ht="15" hidden="false" customHeight="false" outlineLevel="0" collapsed="false">
      <c r="A30" s="5" t="s">
        <v>48</v>
      </c>
      <c r="B30" s="5" t="s">
        <v>461</v>
      </c>
      <c r="C30" s="5" t="s">
        <v>425</v>
      </c>
      <c r="D30" s="5" t="s">
        <v>426</v>
      </c>
      <c r="E30" s="5" t="s">
        <v>427</v>
      </c>
      <c r="F30" s="10" t="s">
        <v>428</v>
      </c>
    </row>
    <row r="31" customFormat="false" ht="15" hidden="false" customHeight="false" outlineLevel="0" collapsed="false">
      <c r="A31" s="6" t="s">
        <v>48</v>
      </c>
      <c r="B31" s="6" t="s">
        <v>462</v>
      </c>
      <c r="C31" s="6" t="s">
        <v>430</v>
      </c>
      <c r="D31" s="6" t="s">
        <v>426</v>
      </c>
      <c r="E31" s="6" t="s">
        <v>432</v>
      </c>
      <c r="F31" s="14" t="s">
        <v>428</v>
      </c>
    </row>
    <row r="32" customFormat="false" ht="15" hidden="false" customHeight="false" outlineLevel="0" collapsed="false">
      <c r="A32" s="5" t="s">
        <v>48</v>
      </c>
      <c r="B32" s="5" t="s">
        <v>463</v>
      </c>
      <c r="C32" s="5" t="s">
        <v>430</v>
      </c>
      <c r="D32" s="5" t="s">
        <v>426</v>
      </c>
      <c r="E32" s="5" t="s">
        <v>432</v>
      </c>
      <c r="F32" s="5" t="s">
        <v>433</v>
      </c>
    </row>
    <row r="33" customFormat="false" ht="15" hidden="false" customHeight="false" outlineLevel="0" collapsed="false">
      <c r="A33" s="6" t="s">
        <v>48</v>
      </c>
      <c r="B33" s="6" t="s">
        <v>464</v>
      </c>
      <c r="C33" s="6" t="s">
        <v>425</v>
      </c>
      <c r="D33" s="6" t="s">
        <v>426</v>
      </c>
      <c r="E33" s="6" t="s">
        <v>427</v>
      </c>
      <c r="F33" s="14" t="s">
        <v>428</v>
      </c>
    </row>
    <row r="34" customFormat="false" ht="15" hidden="false" customHeight="false" outlineLevel="0" collapsed="false">
      <c r="A34" s="5" t="s">
        <v>48</v>
      </c>
      <c r="B34" s="5" t="s">
        <v>465</v>
      </c>
      <c r="C34" s="5" t="s">
        <v>425</v>
      </c>
      <c r="D34" s="5" t="s">
        <v>426</v>
      </c>
      <c r="E34" s="5" t="s">
        <v>427</v>
      </c>
      <c r="F34" s="10" t="s">
        <v>428</v>
      </c>
    </row>
    <row r="35" customFormat="false" ht="15" hidden="false" customHeight="false" outlineLevel="0" collapsed="false">
      <c r="A35" s="6" t="s">
        <v>48</v>
      </c>
      <c r="B35" s="6" t="s">
        <v>466</v>
      </c>
      <c r="C35" s="6" t="s">
        <v>436</v>
      </c>
      <c r="D35" s="6" t="s">
        <v>431</v>
      </c>
      <c r="E35" s="6" t="s">
        <v>442</v>
      </c>
      <c r="F35" s="6" t="s">
        <v>433</v>
      </c>
    </row>
    <row r="36" customFormat="false" ht="15" hidden="false" customHeight="false" outlineLevel="0" collapsed="false">
      <c r="A36" s="5" t="s">
        <v>72</v>
      </c>
      <c r="B36" s="5" t="s">
        <v>467</v>
      </c>
      <c r="C36" s="5" t="s">
        <v>425</v>
      </c>
      <c r="D36" s="5" t="s">
        <v>426</v>
      </c>
      <c r="E36" s="5" t="s">
        <v>432</v>
      </c>
      <c r="F36" s="10" t="s">
        <v>428</v>
      </c>
    </row>
    <row r="37" customFormat="false" ht="15" hidden="false" customHeight="false" outlineLevel="0" collapsed="false">
      <c r="A37" s="6" t="s">
        <v>72</v>
      </c>
      <c r="B37" s="6" t="s">
        <v>468</v>
      </c>
      <c r="C37" s="6" t="s">
        <v>425</v>
      </c>
      <c r="D37" s="6" t="s">
        <v>431</v>
      </c>
      <c r="E37" s="6" t="s">
        <v>427</v>
      </c>
      <c r="F37" s="6" t="s">
        <v>433</v>
      </c>
    </row>
    <row r="38" customFormat="false" ht="15" hidden="false" customHeight="false" outlineLevel="0" collapsed="false">
      <c r="A38" s="5" t="s">
        <v>72</v>
      </c>
      <c r="B38" s="5" t="s">
        <v>469</v>
      </c>
      <c r="C38" s="5" t="s">
        <v>430</v>
      </c>
      <c r="D38" s="5" t="s">
        <v>426</v>
      </c>
      <c r="E38" s="5" t="s">
        <v>432</v>
      </c>
      <c r="F38" s="10" t="s">
        <v>428</v>
      </c>
    </row>
    <row r="39" customFormat="false" ht="15" hidden="false" customHeight="false" outlineLevel="0" collapsed="false">
      <c r="A39" s="6" t="s">
        <v>72</v>
      </c>
      <c r="B39" s="6" t="s">
        <v>470</v>
      </c>
      <c r="C39" s="6" t="s">
        <v>430</v>
      </c>
      <c r="D39" s="6" t="s">
        <v>431</v>
      </c>
      <c r="E39" s="6" t="s">
        <v>432</v>
      </c>
      <c r="F39" s="6" t="s">
        <v>433</v>
      </c>
    </row>
    <row r="40" customFormat="false" ht="15" hidden="false" customHeight="false" outlineLevel="0" collapsed="false">
      <c r="A40" s="5" t="s">
        <v>72</v>
      </c>
      <c r="B40" s="5" t="s">
        <v>471</v>
      </c>
      <c r="C40" s="5" t="s">
        <v>430</v>
      </c>
      <c r="D40" s="5" t="s">
        <v>431</v>
      </c>
      <c r="E40" s="5" t="s">
        <v>432</v>
      </c>
      <c r="F40" s="5" t="s">
        <v>433</v>
      </c>
    </row>
    <row r="41" customFormat="false" ht="15" hidden="false" customHeight="false" outlineLevel="0" collapsed="false">
      <c r="A41" s="6" t="s">
        <v>72</v>
      </c>
      <c r="B41" s="6" t="s">
        <v>472</v>
      </c>
      <c r="C41" s="6" t="s">
        <v>430</v>
      </c>
      <c r="D41" s="6" t="s">
        <v>431</v>
      </c>
      <c r="E41" s="6" t="s">
        <v>427</v>
      </c>
      <c r="F41" s="14" t="s">
        <v>428</v>
      </c>
    </row>
    <row r="42" customFormat="false" ht="15" hidden="false" customHeight="false" outlineLevel="0" collapsed="false">
      <c r="A42" s="5" t="s">
        <v>72</v>
      </c>
      <c r="B42" s="5" t="s">
        <v>473</v>
      </c>
      <c r="C42" s="5" t="s">
        <v>430</v>
      </c>
      <c r="D42" s="5" t="s">
        <v>426</v>
      </c>
      <c r="E42" s="5" t="s">
        <v>442</v>
      </c>
      <c r="F42" s="5" t="s">
        <v>433</v>
      </c>
    </row>
    <row r="43" customFormat="false" ht="15" hidden="false" customHeight="false" outlineLevel="0" collapsed="false">
      <c r="A43" s="6" t="s">
        <v>72</v>
      </c>
      <c r="B43" s="6" t="s">
        <v>474</v>
      </c>
      <c r="C43" s="6" t="s">
        <v>430</v>
      </c>
      <c r="D43" s="6" t="s">
        <v>426</v>
      </c>
      <c r="E43" s="6" t="s">
        <v>432</v>
      </c>
      <c r="F43" s="14" t="s">
        <v>428</v>
      </c>
    </row>
    <row r="44" customFormat="false" ht="15" hidden="false" customHeight="false" outlineLevel="0" collapsed="false">
      <c r="A44" s="5" t="s">
        <v>475</v>
      </c>
      <c r="B44" s="5" t="s">
        <v>476</v>
      </c>
      <c r="C44" s="5" t="s">
        <v>425</v>
      </c>
      <c r="D44" s="5" t="s">
        <v>426</v>
      </c>
      <c r="E44" s="5" t="s">
        <v>432</v>
      </c>
      <c r="F44" s="10" t="s">
        <v>428</v>
      </c>
    </row>
    <row r="45" customFormat="false" ht="15" hidden="false" customHeight="false" outlineLevel="0" collapsed="false">
      <c r="A45" s="6" t="s">
        <v>475</v>
      </c>
      <c r="B45" s="6" t="s">
        <v>477</v>
      </c>
      <c r="C45" s="6" t="s">
        <v>430</v>
      </c>
      <c r="D45" s="6" t="s">
        <v>426</v>
      </c>
      <c r="E45" s="6" t="s">
        <v>432</v>
      </c>
      <c r="F45" s="6" t="s">
        <v>433</v>
      </c>
    </row>
    <row r="46" customFormat="false" ht="15" hidden="false" customHeight="false" outlineLevel="0" collapsed="false">
      <c r="A46" s="5" t="s">
        <v>475</v>
      </c>
      <c r="B46" s="5" t="s">
        <v>478</v>
      </c>
      <c r="C46" s="5" t="s">
        <v>430</v>
      </c>
      <c r="D46" s="5" t="s">
        <v>426</v>
      </c>
      <c r="E46" s="5" t="s">
        <v>432</v>
      </c>
      <c r="F46" s="10" t="s">
        <v>428</v>
      </c>
    </row>
    <row r="47" customFormat="false" ht="15" hidden="false" customHeight="false" outlineLevel="0" collapsed="false">
      <c r="A47" s="6" t="s">
        <v>475</v>
      </c>
      <c r="B47" s="6" t="s">
        <v>479</v>
      </c>
      <c r="C47" s="6" t="s">
        <v>425</v>
      </c>
      <c r="D47" s="6" t="s">
        <v>431</v>
      </c>
      <c r="E47" s="6" t="s">
        <v>427</v>
      </c>
      <c r="F47" s="6" t="s">
        <v>433</v>
      </c>
    </row>
    <row r="48" customFormat="false" ht="15" hidden="false" customHeight="false" outlineLevel="0" collapsed="false">
      <c r="A48" s="5" t="s">
        <v>475</v>
      </c>
      <c r="B48" s="5" t="s">
        <v>480</v>
      </c>
      <c r="C48" s="5" t="s">
        <v>425</v>
      </c>
      <c r="D48" s="5" t="s">
        <v>426</v>
      </c>
      <c r="E48" s="5" t="s">
        <v>427</v>
      </c>
      <c r="F48" s="5" t="s">
        <v>433</v>
      </c>
    </row>
    <row r="49" customFormat="false" ht="15" hidden="false" customHeight="false" outlineLevel="0" collapsed="false">
      <c r="A49" s="6" t="s">
        <v>475</v>
      </c>
      <c r="B49" s="6" t="s">
        <v>481</v>
      </c>
      <c r="C49" s="6" t="s">
        <v>430</v>
      </c>
      <c r="D49" s="6" t="s">
        <v>426</v>
      </c>
      <c r="E49" s="6" t="s">
        <v>442</v>
      </c>
      <c r="F49" s="14" t="s">
        <v>428</v>
      </c>
    </row>
    <row r="50" customFormat="false" ht="15" hidden="false" customHeight="false" outlineLevel="0" collapsed="false">
      <c r="A50" s="5" t="s">
        <v>475</v>
      </c>
      <c r="B50" s="5" t="s">
        <v>482</v>
      </c>
      <c r="C50" s="5" t="s">
        <v>430</v>
      </c>
      <c r="D50" s="5" t="s">
        <v>426</v>
      </c>
      <c r="E50" s="5" t="s">
        <v>432</v>
      </c>
      <c r="F50" s="10" t="s">
        <v>428</v>
      </c>
    </row>
    <row r="51" customFormat="false" ht="15" hidden="false" customHeight="false" outlineLevel="0" collapsed="false">
      <c r="A51" s="6" t="s">
        <v>66</v>
      </c>
      <c r="B51" s="6" t="s">
        <v>483</v>
      </c>
      <c r="C51" s="6" t="s">
        <v>425</v>
      </c>
      <c r="D51" s="6" t="s">
        <v>426</v>
      </c>
      <c r="E51" s="6" t="s">
        <v>427</v>
      </c>
      <c r="F51" s="14" t="s">
        <v>428</v>
      </c>
    </row>
    <row r="52" customFormat="false" ht="15" hidden="false" customHeight="false" outlineLevel="0" collapsed="false">
      <c r="A52" s="5" t="s">
        <v>66</v>
      </c>
      <c r="B52" s="5" t="s">
        <v>484</v>
      </c>
      <c r="C52" s="5" t="s">
        <v>425</v>
      </c>
      <c r="D52" s="5" t="s">
        <v>426</v>
      </c>
      <c r="E52" s="5" t="s">
        <v>427</v>
      </c>
      <c r="F52" s="10" t="s">
        <v>428</v>
      </c>
    </row>
    <row r="53" customFormat="false" ht="15" hidden="false" customHeight="false" outlineLevel="0" collapsed="false">
      <c r="A53" s="6" t="s">
        <v>66</v>
      </c>
      <c r="B53" s="6" t="s">
        <v>485</v>
      </c>
      <c r="C53" s="6" t="s">
        <v>430</v>
      </c>
      <c r="D53" s="6" t="s">
        <v>426</v>
      </c>
      <c r="E53" s="6" t="s">
        <v>432</v>
      </c>
      <c r="F53" s="6" t="s">
        <v>433</v>
      </c>
    </row>
    <row r="54" customFormat="false" ht="15" hidden="false" customHeight="false" outlineLevel="0" collapsed="false">
      <c r="A54" s="5" t="s">
        <v>66</v>
      </c>
      <c r="B54" s="5" t="s">
        <v>486</v>
      </c>
      <c r="C54" s="5" t="s">
        <v>430</v>
      </c>
      <c r="D54" s="5" t="s">
        <v>426</v>
      </c>
      <c r="E54" s="5" t="s">
        <v>432</v>
      </c>
      <c r="F54" s="10" t="s">
        <v>428</v>
      </c>
    </row>
    <row r="55" customFormat="false" ht="15" hidden="false" customHeight="false" outlineLevel="0" collapsed="false">
      <c r="A55" s="6" t="s">
        <v>66</v>
      </c>
      <c r="B55" s="6" t="s">
        <v>487</v>
      </c>
      <c r="C55" s="6" t="s">
        <v>430</v>
      </c>
      <c r="D55" s="6" t="s">
        <v>426</v>
      </c>
      <c r="E55" s="6" t="s">
        <v>432</v>
      </c>
      <c r="F55" s="14" t="s">
        <v>428</v>
      </c>
    </row>
    <row r="57" customFormat="false" ht="15" hidden="false" customHeight="false" outlineLevel="0" collapsed="false">
      <c r="A57" s="15" t="s">
        <v>488</v>
      </c>
      <c r="B57" s="15"/>
      <c r="C57" s="15"/>
      <c r="D57" s="15"/>
      <c r="E57" s="15"/>
      <c r="F57" s="15"/>
    </row>
    <row r="58" customFormat="false" ht="23.85" hidden="false" customHeight="false" outlineLevel="0" collapsed="false">
      <c r="A58" s="13" t="s">
        <v>489</v>
      </c>
      <c r="B58" s="13" t="s">
        <v>490</v>
      </c>
      <c r="C58" s="13" t="s">
        <v>491</v>
      </c>
    </row>
    <row r="59" customFormat="false" ht="46.25" hidden="false" customHeight="false" outlineLevel="0" collapsed="false">
      <c r="A59" s="5" t="s">
        <v>492</v>
      </c>
      <c r="B59" s="5" t="s">
        <v>493</v>
      </c>
      <c r="C59" s="5" t="s">
        <v>494</v>
      </c>
    </row>
    <row r="60" customFormat="false" ht="15" hidden="false" customHeight="false" outlineLevel="0" collapsed="false">
      <c r="A60" s="6" t="s">
        <v>492</v>
      </c>
      <c r="B60" s="6" t="s">
        <v>495</v>
      </c>
      <c r="C60" s="6" t="s">
        <v>496</v>
      </c>
    </row>
    <row r="61" customFormat="false" ht="46.25" hidden="false" customHeight="false" outlineLevel="0" collapsed="false">
      <c r="A61" s="5" t="s">
        <v>492</v>
      </c>
      <c r="B61" s="5" t="s">
        <v>497</v>
      </c>
      <c r="C61" s="5" t="s">
        <v>498</v>
      </c>
    </row>
    <row r="62" customFormat="false" ht="23.85" hidden="false" customHeight="false" outlineLevel="0" collapsed="false">
      <c r="A62" s="6" t="s">
        <v>492</v>
      </c>
      <c r="B62" s="6" t="s">
        <v>499</v>
      </c>
      <c r="C62" s="6" t="s">
        <v>500</v>
      </c>
    </row>
    <row r="63" customFormat="false" ht="23.85" hidden="false" customHeight="false" outlineLevel="0" collapsed="false">
      <c r="A63" s="5" t="s">
        <v>492</v>
      </c>
      <c r="B63" s="5" t="s">
        <v>501</v>
      </c>
      <c r="C63" s="5" t="s">
        <v>502</v>
      </c>
    </row>
    <row r="64" customFormat="false" ht="46.25" hidden="false" customHeight="false" outlineLevel="0" collapsed="false">
      <c r="A64" s="6" t="s">
        <v>503</v>
      </c>
      <c r="B64" s="6" t="s">
        <v>504</v>
      </c>
      <c r="C64" s="6" t="s">
        <v>505</v>
      </c>
    </row>
    <row r="65" customFormat="false" ht="23.85" hidden="false" customHeight="false" outlineLevel="0" collapsed="false">
      <c r="A65" s="5" t="s">
        <v>503</v>
      </c>
      <c r="B65" s="5" t="s">
        <v>506</v>
      </c>
      <c r="C65" s="5" t="s">
        <v>507</v>
      </c>
    </row>
    <row r="66" customFormat="false" ht="15" hidden="false" customHeight="false" outlineLevel="0" collapsed="false">
      <c r="A66" s="6" t="s">
        <v>503</v>
      </c>
      <c r="B66" s="6" t="s">
        <v>508</v>
      </c>
      <c r="C66" s="6" t="s">
        <v>509</v>
      </c>
    </row>
    <row r="67" customFormat="false" ht="23.85" hidden="false" customHeight="false" outlineLevel="0" collapsed="false">
      <c r="A67" s="5" t="s">
        <v>503</v>
      </c>
      <c r="B67" s="5" t="s">
        <v>510</v>
      </c>
      <c r="C67" s="5" t="s">
        <v>511</v>
      </c>
    </row>
    <row r="68" customFormat="false" ht="15" hidden="false" customHeight="false" outlineLevel="0" collapsed="false">
      <c r="A68" s="6" t="s">
        <v>503</v>
      </c>
      <c r="B68" s="6" t="s">
        <v>512</v>
      </c>
      <c r="C68" s="6" t="s">
        <v>513</v>
      </c>
    </row>
    <row r="69" customFormat="false" ht="23.85" hidden="false" customHeight="false" outlineLevel="0" collapsed="false">
      <c r="A69" s="5" t="s">
        <v>503</v>
      </c>
      <c r="B69" s="5" t="s">
        <v>514</v>
      </c>
      <c r="C69" s="5" t="s">
        <v>515</v>
      </c>
    </row>
    <row r="70" customFormat="false" ht="46.25" hidden="false" customHeight="false" outlineLevel="0" collapsed="false">
      <c r="A70" s="6" t="s">
        <v>516</v>
      </c>
      <c r="B70" s="6" t="s">
        <v>517</v>
      </c>
      <c r="C70" s="6" t="s">
        <v>518</v>
      </c>
    </row>
    <row r="71" customFormat="false" ht="23.85" hidden="false" customHeight="false" outlineLevel="0" collapsed="false">
      <c r="A71" s="5" t="s">
        <v>516</v>
      </c>
      <c r="B71" s="5" t="s">
        <v>519</v>
      </c>
      <c r="C71" s="5" t="s">
        <v>520</v>
      </c>
    </row>
    <row r="72" customFormat="false" ht="23.85" hidden="false" customHeight="false" outlineLevel="0" collapsed="false">
      <c r="A72" s="6" t="s">
        <v>516</v>
      </c>
      <c r="B72" s="6" t="s">
        <v>521</v>
      </c>
      <c r="C72" s="6" t="s">
        <v>522</v>
      </c>
    </row>
    <row r="73" customFormat="false" ht="23.85" hidden="false" customHeight="false" outlineLevel="0" collapsed="false">
      <c r="A73" s="5" t="s">
        <v>516</v>
      </c>
      <c r="B73" s="5" t="s">
        <v>523</v>
      </c>
      <c r="C73" s="5" t="s">
        <v>524</v>
      </c>
    </row>
    <row r="74" customFormat="false" ht="23.85" hidden="false" customHeight="false" outlineLevel="0" collapsed="false">
      <c r="A74" s="6" t="s">
        <v>516</v>
      </c>
      <c r="B74" s="6" t="s">
        <v>525</v>
      </c>
      <c r="C74" s="6" t="s">
        <v>526</v>
      </c>
    </row>
    <row r="75" customFormat="false" ht="23.85" hidden="false" customHeight="false" outlineLevel="0" collapsed="false">
      <c r="A75" s="5" t="s">
        <v>516</v>
      </c>
      <c r="B75" s="5" t="s">
        <v>527</v>
      </c>
      <c r="C75" s="5" t="s">
        <v>528</v>
      </c>
    </row>
    <row r="76" customFormat="false" ht="23.85" hidden="false" customHeight="false" outlineLevel="0" collapsed="false">
      <c r="A76" s="6" t="s">
        <v>529</v>
      </c>
      <c r="B76" s="6" t="s">
        <v>530</v>
      </c>
      <c r="C76" s="6" t="s">
        <v>531</v>
      </c>
    </row>
    <row r="77" customFormat="false" ht="23.85" hidden="false" customHeight="false" outlineLevel="0" collapsed="false">
      <c r="A77" s="5" t="s">
        <v>529</v>
      </c>
      <c r="B77" s="5" t="s">
        <v>532</v>
      </c>
      <c r="C77" s="5" t="s">
        <v>533</v>
      </c>
    </row>
    <row r="78" customFormat="false" ht="15" hidden="false" customHeight="false" outlineLevel="0" collapsed="false">
      <c r="A78" s="6" t="s">
        <v>529</v>
      </c>
      <c r="B78" s="6" t="s">
        <v>534</v>
      </c>
      <c r="C78" s="6" t="s">
        <v>535</v>
      </c>
    </row>
    <row r="79" customFormat="false" ht="35.05" hidden="false" customHeight="false" outlineLevel="0" collapsed="false">
      <c r="A79" s="5" t="s">
        <v>529</v>
      </c>
      <c r="B79" s="5" t="s">
        <v>536</v>
      </c>
      <c r="C79" s="5" t="s">
        <v>537</v>
      </c>
    </row>
    <row r="80" customFormat="false" ht="35.05" hidden="false" customHeight="false" outlineLevel="0" collapsed="false">
      <c r="A80" s="6" t="s">
        <v>538</v>
      </c>
      <c r="B80" s="6" t="s">
        <v>539</v>
      </c>
      <c r="C80" s="6" t="s">
        <v>540</v>
      </c>
    </row>
    <row r="81" customFormat="false" ht="35.05" hidden="false" customHeight="false" outlineLevel="0" collapsed="false">
      <c r="A81" s="5" t="s">
        <v>538</v>
      </c>
      <c r="B81" s="5" t="s">
        <v>541</v>
      </c>
      <c r="C81" s="5" t="s">
        <v>542</v>
      </c>
    </row>
    <row r="82" customFormat="false" ht="23.85" hidden="false" customHeight="false" outlineLevel="0" collapsed="false">
      <c r="A82" s="6" t="s">
        <v>543</v>
      </c>
      <c r="B82" s="6" t="s">
        <v>544</v>
      </c>
      <c r="C82" s="6" t="s">
        <v>545</v>
      </c>
    </row>
    <row r="83" customFormat="false" ht="23.85" hidden="false" customHeight="false" outlineLevel="0" collapsed="false">
      <c r="A83" s="5" t="s">
        <v>543</v>
      </c>
      <c r="B83" s="5" t="s">
        <v>546</v>
      </c>
      <c r="C83" s="5" t="s">
        <v>545</v>
      </c>
    </row>
    <row r="84" customFormat="false" ht="23.85" hidden="false" customHeight="false" outlineLevel="0" collapsed="false">
      <c r="A84" s="6" t="s">
        <v>543</v>
      </c>
      <c r="B84" s="6" t="s">
        <v>547</v>
      </c>
      <c r="C84" s="6" t="s">
        <v>545</v>
      </c>
    </row>
    <row r="85" customFormat="false" ht="23.85" hidden="false" customHeight="false" outlineLevel="0" collapsed="false">
      <c r="A85" s="5" t="s">
        <v>543</v>
      </c>
      <c r="B85" s="5" t="s">
        <v>548</v>
      </c>
      <c r="C85" s="5" t="s">
        <v>545</v>
      </c>
    </row>
    <row r="86" customFormat="false" ht="23.85" hidden="false" customHeight="false" outlineLevel="0" collapsed="false">
      <c r="A86" s="6" t="s">
        <v>549</v>
      </c>
      <c r="B86" s="6" t="s">
        <v>550</v>
      </c>
      <c r="C86" s="6" t="s">
        <v>551</v>
      </c>
    </row>
    <row r="87" customFormat="false" ht="23.85" hidden="false" customHeight="false" outlineLevel="0" collapsed="false">
      <c r="A87" s="5" t="s">
        <v>549</v>
      </c>
      <c r="B87" s="5" t="s">
        <v>552</v>
      </c>
      <c r="C87" s="5" t="s">
        <v>553</v>
      </c>
    </row>
    <row r="88" customFormat="false" ht="15" hidden="false" customHeight="false" outlineLevel="0" collapsed="false">
      <c r="A88" s="6" t="s">
        <v>549</v>
      </c>
      <c r="B88" s="6" t="s">
        <v>554</v>
      </c>
      <c r="C88" s="6" t="s">
        <v>555</v>
      </c>
    </row>
    <row r="89" customFormat="false" ht="15" hidden="false" customHeight="false" outlineLevel="0" collapsed="false">
      <c r="A89" s="5" t="s">
        <v>549</v>
      </c>
      <c r="B89" s="5" t="s">
        <v>556</v>
      </c>
      <c r="C89" s="5" t="s">
        <v>555</v>
      </c>
    </row>
  </sheetData>
  <mergeCells count="2">
    <mergeCell ref="A1:F1"/>
    <mergeCell ref="A57:F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A100"/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2"/>
  </cols>
  <sheetData>
    <row r="1" customFormat="false" ht="17.35" hidden="false" customHeight="false" outlineLevel="0" collapsed="false">
      <c r="A1" s="1" t="s">
        <v>557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4" t="s">
        <v>558</v>
      </c>
      <c r="B3" s="4" t="s">
        <v>559</v>
      </c>
      <c r="C3" s="4" t="s">
        <v>560</v>
      </c>
      <c r="D3" s="4" t="s">
        <v>561</v>
      </c>
      <c r="E3" s="4" t="s">
        <v>562</v>
      </c>
      <c r="F3" s="4" t="s">
        <v>563</v>
      </c>
      <c r="G3" s="4" t="s">
        <v>564</v>
      </c>
      <c r="H3" s="4" t="s">
        <v>565</v>
      </c>
      <c r="I3" s="4" t="s">
        <v>566</v>
      </c>
      <c r="J3" s="4" t="s">
        <v>567</v>
      </c>
      <c r="K3" s="4" t="s">
        <v>568</v>
      </c>
      <c r="L3" s="4" t="s">
        <v>569</v>
      </c>
      <c r="M3" s="4" t="s">
        <v>570</v>
      </c>
      <c r="N3" s="4" t="s">
        <v>28</v>
      </c>
    </row>
    <row r="4" customFormat="false" ht="15" hidden="false" customHeight="false" outlineLevel="0" collapsed="false">
      <c r="A4" s="11" t="s">
        <v>571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customFormat="false" ht="15" hidden="false" customHeight="false" outlineLevel="0" collapsed="false">
      <c r="A5" s="6" t="s">
        <v>572</v>
      </c>
      <c r="B5" s="16" t="n">
        <v>2500</v>
      </c>
      <c r="C5" s="16" t="n">
        <v>2500</v>
      </c>
      <c r="D5" s="16" t="n">
        <v>2500</v>
      </c>
      <c r="E5" s="16" t="n">
        <v>2500</v>
      </c>
      <c r="F5" s="16" t="n">
        <v>2500</v>
      </c>
      <c r="G5" s="16" t="n">
        <v>2500</v>
      </c>
      <c r="H5" s="16" t="n">
        <v>2500</v>
      </c>
      <c r="I5" s="16" t="n">
        <v>2500</v>
      </c>
      <c r="J5" s="16" t="n">
        <v>2500</v>
      </c>
      <c r="K5" s="16" t="n">
        <v>2500</v>
      </c>
      <c r="L5" s="16" t="n">
        <v>2500</v>
      </c>
      <c r="M5" s="16" t="n">
        <v>2500</v>
      </c>
      <c r="N5" s="16" t="n">
        <f aca="false">SUM(B5:M5)</f>
        <v>30000</v>
      </c>
    </row>
    <row r="6" customFormat="false" ht="15" hidden="false" customHeight="false" outlineLevel="0" collapsed="false">
      <c r="A6" s="5" t="s">
        <v>573</v>
      </c>
      <c r="B6" s="17" t="n">
        <v>1500</v>
      </c>
      <c r="C6" s="17" t="n">
        <v>1500</v>
      </c>
      <c r="D6" s="17" t="n">
        <v>1500</v>
      </c>
      <c r="E6" s="17" t="n">
        <v>1500</v>
      </c>
      <c r="F6" s="17" t="n">
        <v>1500</v>
      </c>
      <c r="G6" s="17" t="n">
        <v>1500</v>
      </c>
      <c r="H6" s="17" t="n">
        <v>1500</v>
      </c>
      <c r="I6" s="17" t="n">
        <v>1500</v>
      </c>
      <c r="J6" s="17" t="n">
        <v>1500</v>
      </c>
      <c r="K6" s="17" t="n">
        <v>1500</v>
      </c>
      <c r="L6" s="17" t="n">
        <v>1500</v>
      </c>
      <c r="M6" s="17" t="n">
        <v>1500</v>
      </c>
      <c r="N6" s="17" t="n">
        <f aca="false">SUM(B6:M6)</f>
        <v>18000</v>
      </c>
    </row>
    <row r="7" customFormat="false" ht="15" hidden="false" customHeight="false" outlineLevel="0" collapsed="false">
      <c r="A7" s="6" t="s">
        <v>574</v>
      </c>
      <c r="B7" s="6" t="n">
        <v>0</v>
      </c>
      <c r="C7" s="16" t="n">
        <v>4000</v>
      </c>
      <c r="D7" s="16" t="n">
        <v>4000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16" t="n">
        <v>2500</v>
      </c>
      <c r="K7" s="16" t="n">
        <v>2500</v>
      </c>
      <c r="L7" s="6" t="n">
        <v>0</v>
      </c>
      <c r="M7" s="6" t="n">
        <v>0</v>
      </c>
      <c r="N7" s="16" t="n">
        <f aca="false">SUM(B7:M7)</f>
        <v>13000</v>
      </c>
    </row>
    <row r="8" customFormat="false" ht="15" hidden="false" customHeight="false" outlineLevel="0" collapsed="false">
      <c r="A8" s="5" t="s">
        <v>575</v>
      </c>
      <c r="B8" s="5" t="n">
        <v>0</v>
      </c>
      <c r="C8" s="17" t="n">
        <v>2000</v>
      </c>
      <c r="D8" s="17" t="n">
        <v>2000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17" t="n">
        <f aca="false">SUM(B8:M8)</f>
        <v>4000</v>
      </c>
    </row>
    <row r="9" customFormat="false" ht="15" hidden="false" customHeight="false" outlineLevel="0" collapsed="false">
      <c r="A9" s="6" t="s">
        <v>136</v>
      </c>
      <c r="B9" s="6" t="n">
        <v>0</v>
      </c>
      <c r="C9" s="16" t="n">
        <v>2500</v>
      </c>
      <c r="D9" s="16" t="n">
        <v>2500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16" t="n">
        <f aca="false">SUM(B9:M9)</f>
        <v>5000</v>
      </c>
    </row>
    <row r="10" customFormat="false" ht="15" hidden="false" customHeight="false" outlineLevel="0" collapsed="false">
      <c r="A10" s="5" t="s">
        <v>48</v>
      </c>
      <c r="B10" s="5" t="n">
        <v>0</v>
      </c>
      <c r="C10" s="17" t="n">
        <v>2000</v>
      </c>
      <c r="D10" s="17" t="n">
        <v>2000</v>
      </c>
      <c r="E10" s="5" t="n">
        <v>0</v>
      </c>
      <c r="F10" s="5" t="n">
        <v>0</v>
      </c>
      <c r="G10" s="5" t="n">
        <v>0</v>
      </c>
      <c r="H10" s="17" t="n">
        <v>3500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17" t="n">
        <f aca="false">SUM(B10:M10)</f>
        <v>7500</v>
      </c>
    </row>
    <row r="11" customFormat="false" ht="15" hidden="false" customHeight="false" outlineLevel="0" collapsed="false">
      <c r="A11" s="6" t="s">
        <v>576</v>
      </c>
      <c r="B11" s="6" t="n">
        <v>0</v>
      </c>
      <c r="C11" s="16" t="n">
        <v>1500</v>
      </c>
      <c r="D11" s="16" t="n">
        <v>1500</v>
      </c>
      <c r="E11" s="16" t="n">
        <v>1000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16" t="n">
        <f aca="false">SUM(B11:M11)</f>
        <v>4000</v>
      </c>
    </row>
    <row r="12" customFormat="false" ht="15" hidden="false" customHeight="false" outlineLevel="0" collapsed="false">
      <c r="A12" s="5" t="s">
        <v>577</v>
      </c>
      <c r="B12" s="5" t="n">
        <v>0</v>
      </c>
      <c r="C12" s="5" t="n">
        <v>0</v>
      </c>
      <c r="D12" s="5" t="n">
        <v>0</v>
      </c>
      <c r="E12" s="5" t="n">
        <v>0</v>
      </c>
      <c r="F12" s="17" t="n">
        <v>2500</v>
      </c>
      <c r="G12" s="17" t="n">
        <v>2500</v>
      </c>
      <c r="H12" s="5" t="n">
        <v>0</v>
      </c>
      <c r="I12" s="17" t="n">
        <v>1750</v>
      </c>
      <c r="J12" s="17" t="n">
        <v>1750</v>
      </c>
      <c r="K12" s="5" t="n">
        <v>0</v>
      </c>
      <c r="L12" s="5" t="n">
        <v>0</v>
      </c>
      <c r="M12" s="5" t="n">
        <v>0</v>
      </c>
      <c r="N12" s="17" t="n">
        <f aca="false">SUM(B12:M12)</f>
        <v>8500</v>
      </c>
    </row>
    <row r="13" customFormat="false" ht="15" hidden="false" customHeight="false" outlineLevel="0" collapsed="false">
      <c r="A13" s="6" t="s">
        <v>578</v>
      </c>
      <c r="B13" s="6" t="n">
        <v>0</v>
      </c>
      <c r="C13" s="6" t="n">
        <v>0</v>
      </c>
      <c r="D13" s="6" t="n">
        <v>0</v>
      </c>
      <c r="E13" s="6" t="n">
        <v>0</v>
      </c>
      <c r="F13" s="16" t="n">
        <v>2250</v>
      </c>
      <c r="G13" s="16" t="n">
        <v>2250</v>
      </c>
      <c r="H13" s="6" t="n">
        <v>0</v>
      </c>
      <c r="I13" s="6" t="n">
        <v>0</v>
      </c>
      <c r="J13" s="16" t="n">
        <v>2000</v>
      </c>
      <c r="K13" s="16" t="n">
        <v>2000</v>
      </c>
      <c r="L13" s="6" t="n">
        <v>0</v>
      </c>
      <c r="M13" s="6" t="n">
        <v>0</v>
      </c>
      <c r="N13" s="16" t="n">
        <f aca="false">SUM(B13:M13)</f>
        <v>8500</v>
      </c>
    </row>
    <row r="14" customFormat="false" ht="15" hidden="false" customHeight="false" outlineLevel="0" collapsed="false">
      <c r="A14" s="5" t="s">
        <v>187</v>
      </c>
      <c r="B14" s="5" t="n">
        <v>0</v>
      </c>
      <c r="C14" s="5" t="n">
        <v>0</v>
      </c>
      <c r="D14" s="5" t="n">
        <v>0</v>
      </c>
      <c r="E14" s="5" t="n">
        <v>0</v>
      </c>
      <c r="F14" s="17" t="n">
        <v>1000</v>
      </c>
      <c r="G14" s="17" t="n">
        <v>1000</v>
      </c>
      <c r="H14" s="17" t="n">
        <v>1000</v>
      </c>
      <c r="I14" s="17" t="n">
        <v>1000</v>
      </c>
      <c r="J14" s="17" t="n">
        <v>1000</v>
      </c>
      <c r="K14" s="17" t="n">
        <v>1000</v>
      </c>
      <c r="L14" s="5" t="n">
        <v>0</v>
      </c>
      <c r="M14" s="5" t="n">
        <v>0</v>
      </c>
      <c r="N14" s="17" t="n">
        <f aca="false">SUM(B14:M14)</f>
        <v>6000</v>
      </c>
    </row>
    <row r="15" customFormat="false" ht="15" hidden="false" customHeight="false" outlineLevel="0" collapsed="false">
      <c r="A15" s="6" t="s">
        <v>209</v>
      </c>
      <c r="B15" s="6" t="n">
        <v>0</v>
      </c>
      <c r="C15" s="6" t="n">
        <v>0</v>
      </c>
      <c r="D15" s="16" t="n">
        <v>2000</v>
      </c>
      <c r="E15" s="16" t="n">
        <v>2000</v>
      </c>
      <c r="F15" s="6" t="n">
        <v>0</v>
      </c>
      <c r="G15" s="6" t="n">
        <v>0</v>
      </c>
      <c r="H15" s="6" t="n">
        <v>0</v>
      </c>
      <c r="I15" s="16" t="n">
        <v>1500</v>
      </c>
      <c r="J15" s="16" t="n">
        <v>1500</v>
      </c>
      <c r="K15" s="6" t="n">
        <v>0</v>
      </c>
      <c r="L15" s="6" t="n">
        <v>0</v>
      </c>
      <c r="M15" s="6" t="n">
        <v>0</v>
      </c>
      <c r="N15" s="16" t="n">
        <f aca="false">SUM(B15:M15)</f>
        <v>7000</v>
      </c>
    </row>
    <row r="16" customFormat="false" ht="15" hidden="false" customHeight="false" outlineLevel="0" collapsed="false">
      <c r="A16" s="5" t="s">
        <v>579</v>
      </c>
      <c r="B16" s="5" t="n">
        <v>0</v>
      </c>
      <c r="C16" s="5" t="n">
        <v>0</v>
      </c>
      <c r="D16" s="5" t="n">
        <v>0</v>
      </c>
      <c r="E16" s="17" t="n">
        <v>1250</v>
      </c>
      <c r="F16" s="17" t="n">
        <v>1250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17" t="n">
        <f aca="false">SUM(B16:M16)</f>
        <v>2500</v>
      </c>
    </row>
    <row r="17" customFormat="false" ht="15" hidden="false" customHeight="false" outlineLevel="0" collapsed="false">
      <c r="A17" s="6" t="s">
        <v>229</v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16" t="n">
        <v>1750</v>
      </c>
      <c r="H17" s="16" t="n">
        <v>1750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16" t="n">
        <f aca="false">SUM(B17:M17)</f>
        <v>3500</v>
      </c>
    </row>
    <row r="18" customFormat="false" ht="15" hidden="false" customHeight="false" outlineLevel="0" collapsed="false">
      <c r="A18" s="5" t="s">
        <v>580</v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17" t="n">
        <v>3500</v>
      </c>
      <c r="K18" s="17" t="n">
        <v>3500</v>
      </c>
      <c r="L18" s="5" t="n">
        <v>0</v>
      </c>
      <c r="M18" s="5" t="n">
        <v>0</v>
      </c>
      <c r="N18" s="17" t="n">
        <f aca="false">SUM(B18:M18)</f>
        <v>7000</v>
      </c>
    </row>
    <row r="19" customFormat="false" ht="15" hidden="false" customHeight="false" outlineLevel="0" collapsed="false">
      <c r="A19" s="6" t="s">
        <v>581</v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16" t="n">
        <v>1250</v>
      </c>
      <c r="L19" s="16" t="n">
        <v>1250</v>
      </c>
      <c r="M19" s="6" t="n">
        <v>0</v>
      </c>
      <c r="N19" s="16" t="n">
        <f aca="false">SUM(B19:M19)</f>
        <v>2500</v>
      </c>
    </row>
    <row r="20" customFormat="false" ht="15" hidden="false" customHeight="false" outlineLevel="0" collapsed="false">
      <c r="A20" s="5" t="s">
        <v>582</v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17" t="n">
        <v>3500</v>
      </c>
      <c r="N20" s="17" t="n">
        <f aca="false">SUM(B20:M20)</f>
        <v>3500</v>
      </c>
    </row>
    <row r="21" customFormat="false" ht="15" hidden="false" customHeight="false" outlineLevel="0" collapsed="false">
      <c r="A21" s="11" t="s">
        <v>583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customFormat="false" ht="15" hidden="false" customHeight="false" outlineLevel="0" collapsed="false">
      <c r="A22" s="5" t="s">
        <v>584</v>
      </c>
      <c r="B22" s="17" t="n">
        <v>1000</v>
      </c>
      <c r="C22" s="17" t="n">
        <v>1000</v>
      </c>
      <c r="D22" s="17" t="n">
        <v>1000</v>
      </c>
      <c r="E22" s="17" t="n">
        <v>1000</v>
      </c>
      <c r="F22" s="17" t="n">
        <v>1000</v>
      </c>
      <c r="G22" s="17" t="n">
        <v>1000</v>
      </c>
      <c r="H22" s="17" t="n">
        <v>1000</v>
      </c>
      <c r="I22" s="17" t="n">
        <v>1000</v>
      </c>
      <c r="J22" s="17" t="n">
        <v>1000</v>
      </c>
      <c r="K22" s="17" t="n">
        <v>1000</v>
      </c>
      <c r="L22" s="17" t="n">
        <v>1000</v>
      </c>
      <c r="M22" s="17" t="n">
        <v>1000</v>
      </c>
      <c r="N22" s="17" t="n">
        <f aca="false">SUM(B22:M22)</f>
        <v>12000</v>
      </c>
    </row>
    <row r="23" customFormat="false" ht="15" hidden="false" customHeight="false" outlineLevel="0" collapsed="false">
      <c r="A23" s="6" t="s">
        <v>585</v>
      </c>
      <c r="B23" s="6" t="n">
        <v>0</v>
      </c>
      <c r="C23" s="16" t="n">
        <v>2500</v>
      </c>
      <c r="D23" s="16" t="n">
        <v>2500</v>
      </c>
      <c r="E23" s="16" t="n">
        <v>2500</v>
      </c>
      <c r="F23" s="16" t="n">
        <v>2500</v>
      </c>
      <c r="G23" s="6" t="n">
        <v>0</v>
      </c>
      <c r="H23" s="6" t="n">
        <v>0</v>
      </c>
      <c r="I23" s="6" t="n">
        <v>0</v>
      </c>
      <c r="J23" s="16" t="n">
        <v>2500</v>
      </c>
      <c r="K23" s="16" t="n">
        <v>2500</v>
      </c>
      <c r="L23" s="16" t="n">
        <v>2500</v>
      </c>
      <c r="M23" s="6" t="n">
        <v>0</v>
      </c>
      <c r="N23" s="16" t="n">
        <f aca="false">SUM(B23:M23)</f>
        <v>17500</v>
      </c>
    </row>
    <row r="24" customFormat="false" ht="15" hidden="false" customHeight="false" outlineLevel="0" collapsed="false">
      <c r="A24" s="5" t="s">
        <v>586</v>
      </c>
      <c r="B24" s="5" t="n">
        <v>0</v>
      </c>
      <c r="C24" s="5" t="n">
        <v>0</v>
      </c>
      <c r="D24" s="17" t="n">
        <v>2000</v>
      </c>
      <c r="E24" s="17" t="n">
        <v>2000</v>
      </c>
      <c r="F24" s="17" t="n">
        <v>2000</v>
      </c>
      <c r="G24" s="17" t="n">
        <v>2000</v>
      </c>
      <c r="H24" s="5" t="n">
        <v>0</v>
      </c>
      <c r="I24" s="17" t="n">
        <v>2000</v>
      </c>
      <c r="J24" s="17" t="n">
        <v>2000</v>
      </c>
      <c r="K24" s="17" t="n">
        <v>2000</v>
      </c>
      <c r="L24" s="17" t="n">
        <v>2000</v>
      </c>
      <c r="M24" s="5" t="n">
        <v>0</v>
      </c>
      <c r="N24" s="17" t="n">
        <f aca="false">SUM(B24:M24)</f>
        <v>16000</v>
      </c>
    </row>
    <row r="25" customFormat="false" ht="15" hidden="false" customHeight="false" outlineLevel="0" collapsed="false">
      <c r="A25" s="6" t="s">
        <v>587</v>
      </c>
      <c r="B25" s="6" t="n">
        <v>0</v>
      </c>
      <c r="C25" s="16" t="n">
        <v>1500</v>
      </c>
      <c r="D25" s="16" t="n">
        <v>1500</v>
      </c>
      <c r="E25" s="6" t="n">
        <v>0</v>
      </c>
      <c r="F25" s="6" t="n">
        <v>0</v>
      </c>
      <c r="G25" s="6" t="n">
        <v>0</v>
      </c>
      <c r="H25" s="16" t="n">
        <v>1500</v>
      </c>
      <c r="I25" s="6" t="n">
        <v>0</v>
      </c>
      <c r="J25" s="6" t="n">
        <v>0</v>
      </c>
      <c r="K25" s="16" t="n">
        <v>1500</v>
      </c>
      <c r="L25" s="16" t="n">
        <v>1500</v>
      </c>
      <c r="M25" s="6" t="n">
        <v>0</v>
      </c>
      <c r="N25" s="16" t="n">
        <f aca="false">SUM(B25:M25)</f>
        <v>7500</v>
      </c>
    </row>
    <row r="26" customFormat="false" ht="15" hidden="false" customHeight="false" outlineLevel="0" collapsed="false">
      <c r="A26" s="5" t="s">
        <v>588</v>
      </c>
      <c r="B26" s="5" t="n">
        <v>0</v>
      </c>
      <c r="C26" s="5" t="n">
        <v>0</v>
      </c>
      <c r="D26" s="17" t="n">
        <v>1500</v>
      </c>
      <c r="E26" s="17" t="n">
        <v>1500</v>
      </c>
      <c r="F26" s="17" t="n">
        <v>1500</v>
      </c>
      <c r="G26" s="17" t="n">
        <v>1500</v>
      </c>
      <c r="H26" s="5" t="n">
        <v>0</v>
      </c>
      <c r="I26" s="17" t="n">
        <v>1500</v>
      </c>
      <c r="J26" s="17" t="n">
        <v>1500</v>
      </c>
      <c r="K26" s="17" t="n">
        <v>1500</v>
      </c>
      <c r="L26" s="17" t="n">
        <v>1500</v>
      </c>
      <c r="M26" s="5" t="n">
        <v>0</v>
      </c>
      <c r="N26" s="17" t="n">
        <f aca="false">SUM(B26:M26)</f>
        <v>12000</v>
      </c>
    </row>
    <row r="27" customFormat="false" ht="15" hidden="false" customHeight="false" outlineLevel="0" collapsed="false">
      <c r="A27" s="6" t="s">
        <v>589</v>
      </c>
      <c r="B27" s="6" t="n">
        <v>0</v>
      </c>
      <c r="C27" s="6" t="n">
        <v>0</v>
      </c>
      <c r="D27" s="6" t="n">
        <v>0</v>
      </c>
      <c r="E27" s="6" t="n">
        <v>0</v>
      </c>
      <c r="F27" s="16" t="n">
        <v>1200</v>
      </c>
      <c r="G27" s="16" t="n">
        <v>1200</v>
      </c>
      <c r="H27" s="16" t="n">
        <v>1200</v>
      </c>
      <c r="I27" s="16" t="n">
        <v>1200</v>
      </c>
      <c r="J27" s="16" t="n">
        <v>1200</v>
      </c>
      <c r="K27" s="16" t="n">
        <v>1200</v>
      </c>
      <c r="L27" s="16" t="n">
        <v>1200</v>
      </c>
      <c r="M27" s="6" t="n">
        <v>0</v>
      </c>
      <c r="N27" s="16" t="n">
        <f aca="false">SUM(B27:M27)</f>
        <v>8400</v>
      </c>
    </row>
    <row r="28" customFormat="false" ht="15" hidden="false" customHeight="false" outlineLevel="0" collapsed="false">
      <c r="A28" s="5" t="s">
        <v>590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17" t="n">
        <v>800</v>
      </c>
      <c r="I28" s="5" t="n">
        <v>0</v>
      </c>
      <c r="J28" s="5" t="n">
        <v>0</v>
      </c>
      <c r="K28" s="17" t="n">
        <v>800</v>
      </c>
      <c r="L28" s="17" t="n">
        <v>800</v>
      </c>
      <c r="M28" s="5" t="n">
        <v>0</v>
      </c>
      <c r="N28" s="17" t="n">
        <f aca="false">SUM(B28:M28)</f>
        <v>2400</v>
      </c>
    </row>
    <row r="29" customFormat="false" ht="15" hidden="false" customHeight="false" outlineLevel="0" collapsed="false">
      <c r="A29" s="6" t="s">
        <v>386</v>
      </c>
      <c r="B29" s="16" t="n">
        <v>1500</v>
      </c>
      <c r="C29" s="16" t="n">
        <v>1500</v>
      </c>
      <c r="D29" s="16" t="n">
        <v>1500</v>
      </c>
      <c r="E29" s="16" t="n">
        <v>1500</v>
      </c>
      <c r="F29" s="16" t="n">
        <v>1500</v>
      </c>
      <c r="G29" s="16" t="n">
        <v>1500</v>
      </c>
      <c r="H29" s="16" t="n">
        <v>1500</v>
      </c>
      <c r="I29" s="16" t="n">
        <v>1500</v>
      </c>
      <c r="J29" s="16" t="n">
        <v>1500</v>
      </c>
      <c r="K29" s="16" t="n">
        <v>1500</v>
      </c>
      <c r="L29" s="16" t="n">
        <v>1500</v>
      </c>
      <c r="M29" s="16" t="n">
        <v>1500</v>
      </c>
      <c r="N29" s="16" t="n">
        <f aca="false">SUM(B29:M29)</f>
        <v>18000</v>
      </c>
    </row>
    <row r="30" customFormat="false" ht="15" hidden="false" customHeight="false" outlineLevel="0" collapsed="false">
      <c r="A30" s="5" t="s">
        <v>591</v>
      </c>
      <c r="B30" s="5" t="n">
        <v>0</v>
      </c>
      <c r="C30" s="17" t="n">
        <v>1000</v>
      </c>
      <c r="D30" s="17" t="n">
        <v>1000</v>
      </c>
      <c r="E30" s="17" t="n">
        <v>1000</v>
      </c>
      <c r="F30" s="17" t="n">
        <v>1000</v>
      </c>
      <c r="G30" s="5" t="n">
        <v>0</v>
      </c>
      <c r="H30" s="5" t="n">
        <v>0</v>
      </c>
      <c r="I30" s="5" t="n">
        <v>0</v>
      </c>
      <c r="J30" s="17" t="n">
        <v>1000</v>
      </c>
      <c r="K30" s="17" t="n">
        <v>1000</v>
      </c>
      <c r="L30" s="17" t="n">
        <v>1000</v>
      </c>
      <c r="M30" s="5" t="n">
        <v>0</v>
      </c>
      <c r="N30" s="17" t="n">
        <f aca="false">SUM(B30:M30)</f>
        <v>7000</v>
      </c>
    </row>
    <row r="31" customFormat="false" ht="15" hidden="false" customHeight="false" outlineLevel="0" collapsed="false">
      <c r="A31" s="18" t="s">
        <v>592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</row>
    <row r="32" customFormat="false" ht="15" hidden="false" customHeight="false" outlineLevel="0" collapsed="false">
      <c r="A32" s="20" t="s">
        <v>593</v>
      </c>
      <c r="N32" s="21" t="n">
        <v>30000</v>
      </c>
    </row>
    <row r="33" customFormat="false" ht="15" hidden="false" customHeight="false" outlineLevel="0" collapsed="false">
      <c r="A33" s="20" t="s">
        <v>594</v>
      </c>
      <c r="N33" s="21" t="n">
        <v>15000</v>
      </c>
    </row>
  </sheetData>
  <mergeCells count="3">
    <mergeCell ref="A1:N1"/>
    <mergeCell ref="A4:N4"/>
    <mergeCell ref="A21:N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4335"/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45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35"/>
    <col collapsed="false" customWidth="true" hidden="false" outlineLevel="0" max="7" min="7" style="0" width="15"/>
  </cols>
  <sheetData>
    <row r="1" customFormat="false" ht="17.35" hidden="false" customHeight="false" outlineLevel="0" collapsed="false">
      <c r="A1" s="1" t="s">
        <v>595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596</v>
      </c>
      <c r="B3" s="4" t="s">
        <v>597</v>
      </c>
      <c r="C3" s="4" t="s">
        <v>598</v>
      </c>
      <c r="D3" s="4" t="s">
        <v>86</v>
      </c>
      <c r="E3" s="4" t="s">
        <v>599</v>
      </c>
      <c r="F3" s="4" t="s">
        <v>600</v>
      </c>
      <c r="G3" s="4" t="s">
        <v>32</v>
      </c>
    </row>
    <row r="4" customFormat="false" ht="15" hidden="false" customHeight="false" outlineLevel="0" collapsed="false">
      <c r="A4" s="5" t="s">
        <v>601</v>
      </c>
      <c r="B4" s="5" t="s">
        <v>602</v>
      </c>
      <c r="C4" s="5" t="s">
        <v>603</v>
      </c>
      <c r="D4" s="5" t="s">
        <v>252</v>
      </c>
      <c r="E4" s="5" t="s">
        <v>604</v>
      </c>
      <c r="F4" s="5" t="s">
        <v>605</v>
      </c>
      <c r="G4" s="5" t="s">
        <v>40</v>
      </c>
    </row>
    <row r="5" customFormat="false" ht="15" hidden="false" customHeight="false" outlineLevel="0" collapsed="false">
      <c r="A5" s="6" t="s">
        <v>606</v>
      </c>
      <c r="B5" s="6" t="s">
        <v>607</v>
      </c>
      <c r="C5" s="6" t="s">
        <v>608</v>
      </c>
      <c r="D5" s="6" t="s">
        <v>145</v>
      </c>
      <c r="E5" s="6" t="s">
        <v>609</v>
      </c>
      <c r="F5" s="6" t="s">
        <v>610</v>
      </c>
      <c r="G5" s="6" t="s">
        <v>55</v>
      </c>
    </row>
    <row r="6" customFormat="false" ht="15" hidden="false" customHeight="false" outlineLevel="0" collapsed="false">
      <c r="A6" s="5" t="s">
        <v>611</v>
      </c>
      <c r="B6" s="5" t="s">
        <v>612</v>
      </c>
      <c r="C6" s="5" t="s">
        <v>613</v>
      </c>
      <c r="D6" s="5" t="s">
        <v>155</v>
      </c>
      <c r="E6" s="5" t="s">
        <v>614</v>
      </c>
      <c r="F6" s="5" t="s">
        <v>615</v>
      </c>
      <c r="G6" s="5" t="s">
        <v>48</v>
      </c>
    </row>
    <row r="7" customFormat="false" ht="15" hidden="false" customHeight="false" outlineLevel="0" collapsed="false">
      <c r="A7" s="6" t="s">
        <v>616</v>
      </c>
      <c r="B7" s="6" t="s">
        <v>607</v>
      </c>
      <c r="C7" s="6" t="s">
        <v>617</v>
      </c>
      <c r="D7" s="6" t="s">
        <v>618</v>
      </c>
      <c r="E7" s="6" t="s">
        <v>619</v>
      </c>
      <c r="F7" s="6" t="s">
        <v>620</v>
      </c>
      <c r="G7" s="6" t="s">
        <v>72</v>
      </c>
    </row>
    <row r="8" customFormat="false" ht="15" hidden="false" customHeight="false" outlineLevel="0" collapsed="false">
      <c r="A8" s="5" t="s">
        <v>621</v>
      </c>
      <c r="B8" s="5" t="s">
        <v>612</v>
      </c>
      <c r="C8" s="5" t="s">
        <v>622</v>
      </c>
      <c r="D8" s="5" t="s">
        <v>623</v>
      </c>
      <c r="E8" s="5" t="s">
        <v>624</v>
      </c>
      <c r="F8" s="5" t="s">
        <v>625</v>
      </c>
      <c r="G8" s="5" t="s">
        <v>72</v>
      </c>
    </row>
    <row r="9" customFormat="false" ht="15" hidden="false" customHeight="false" outlineLevel="0" collapsed="false">
      <c r="A9" s="6" t="s">
        <v>626</v>
      </c>
      <c r="B9" s="6" t="s">
        <v>602</v>
      </c>
      <c r="C9" s="6" t="s">
        <v>627</v>
      </c>
      <c r="D9" s="6" t="s">
        <v>628</v>
      </c>
      <c r="E9" s="6" t="s">
        <v>629</v>
      </c>
      <c r="F9" s="6" t="s">
        <v>630</v>
      </c>
      <c r="G9" s="6" t="s">
        <v>55</v>
      </c>
    </row>
    <row r="10" customFormat="false" ht="15" hidden="false" customHeight="false" outlineLevel="0" collapsed="false">
      <c r="A10" s="5" t="s">
        <v>631</v>
      </c>
      <c r="B10" s="5" t="s">
        <v>607</v>
      </c>
      <c r="C10" s="5" t="s">
        <v>195</v>
      </c>
      <c r="D10" s="5" t="s">
        <v>632</v>
      </c>
      <c r="E10" s="5" t="s">
        <v>633</v>
      </c>
      <c r="F10" s="5" t="s">
        <v>634</v>
      </c>
      <c r="G10" s="5" t="s">
        <v>475</v>
      </c>
    </row>
    <row r="11" customFormat="false" ht="23.85" hidden="false" customHeight="false" outlineLevel="0" collapsed="false">
      <c r="A11" s="6" t="s">
        <v>635</v>
      </c>
      <c r="B11" s="6" t="s">
        <v>636</v>
      </c>
      <c r="C11" s="6" t="s">
        <v>637</v>
      </c>
      <c r="D11" s="6" t="s">
        <v>99</v>
      </c>
      <c r="E11" s="6" t="s">
        <v>321</v>
      </c>
      <c r="F11" s="6" t="s">
        <v>638</v>
      </c>
      <c r="G11" s="6" t="s">
        <v>319</v>
      </c>
    </row>
    <row r="12" customFormat="false" ht="23.85" hidden="false" customHeight="false" outlineLevel="0" collapsed="false">
      <c r="A12" s="5" t="s">
        <v>639</v>
      </c>
      <c r="B12" s="5" t="s">
        <v>640</v>
      </c>
      <c r="C12" s="5" t="s">
        <v>641</v>
      </c>
      <c r="D12" s="5" t="s">
        <v>642</v>
      </c>
      <c r="E12" s="5" t="s">
        <v>321</v>
      </c>
      <c r="F12" s="5" t="s">
        <v>643</v>
      </c>
      <c r="G12" s="5" t="s">
        <v>319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2026-03-27T20:12:35Z</dcterms:created>
  <dc:creator>openpyxl</dc:creator>
  <dc:description/>
  <dc:language>en-US</dc:language>
  <cp:lastModifiedBy/>
  <dcterms:modified xsi:type="dcterms:W3CDTF">2026-03-27T20:12:35Z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