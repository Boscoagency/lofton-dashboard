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lejandroantunaleon/Desktop/Lofton Cowork/"/>
    </mc:Choice>
  </mc:AlternateContent>
  <xr:revisionPtr revIDLastSave="0" documentId="13_ncr:1_{29EE3DEA-6981-FD44-9806-A2FA8770DF7B}" xr6:coauthVersionLast="47" xr6:coauthVersionMax="47" xr10:uidLastSave="{00000000-0000-0000-0000-000000000000}"/>
  <bookViews>
    <workbookView xWindow="0" yWindow="600" windowWidth="25620" windowHeight="15860" tabRatio="500" activeTab="1" xr2:uid="{00000000-000D-0000-FFFF-FFFF00000000}"/>
  </bookViews>
  <sheets>
    <sheet name="Calendario Temporalidad" sheetId="1" r:id="rId1"/>
    <sheet name="Servicios" sheetId="3" r:id="rId2"/>
    <sheet name="Análisis de resultados WEB" sheetId="5" state="hidden" r:id="rId3"/>
    <sheet name="Plan de MKT" sheetId="6" state="hidden" r:id="rId4"/>
    <sheet name="Competencia" sheetId="7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3" i="3" l="1"/>
  <c r="D55" i="3" s="1"/>
  <c r="D32" i="3"/>
  <c r="D15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D2" i="3"/>
  <c r="A49" i="1"/>
  <c r="A48" i="1"/>
  <c r="A47" i="1"/>
  <c r="A46" i="1"/>
</calcChain>
</file>

<file path=xl/sharedStrings.xml><?xml version="1.0" encoding="utf-8"?>
<sst xmlns="http://schemas.openxmlformats.org/spreadsheetml/2006/main" count="341" uniqueCount="302">
  <si>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</si>
  <si>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</si>
  <si>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</si>
  <si>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</si>
  <si>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</si>
  <si>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</si>
  <si>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</si>
  <si>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</si>
  <si>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</si>
  <si>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</si>
  <si>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</si>
  <si>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</si>
  <si>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Auditoría</t>
  </si>
  <si>
    <t>Auditoría de Estados Financieros</t>
  </si>
  <si>
    <t>Dictamen Fiscal - 15 de mayo</t>
  </si>
  <si>
    <t>Auditoría de Contribuciones Locales</t>
  </si>
  <si>
    <t>Aviso Dictamen Contribuciones Locales CDMX (15 de marzo)</t>
  </si>
  <si>
    <t>Dictamen Contribuciones Locales CDMX (31 de mayo)</t>
  </si>
  <si>
    <t>Aviso Dictamen EdoMex (31 de julio)</t>
  </si>
  <si>
    <t>Dictamen EdoMex - 30 de agosto</t>
  </si>
  <si>
    <t>Auditoría IMSS</t>
  </si>
  <si>
    <t>Aviso Dictamen IMSS a más tardar el 30 de abril</t>
  </si>
  <si>
    <t>Dictamen IMSS - 30 de septiembre</t>
  </si>
  <si>
    <t>Aviso Dictamen INFONAVIT- ultimo dia habil abril, se presenta en los 6 meses posteriores</t>
  </si>
  <si>
    <t>Límite Dictamen INFONAVIT</t>
  </si>
  <si>
    <t>Precios de transferencia - DIOPR (15 de mayo)</t>
  </si>
  <si>
    <t>Contabilidad - Fiscal</t>
  </si>
  <si>
    <t>Asesoría &amp; Defensa Fiscal</t>
  </si>
  <si>
    <t xml:space="preserve">Programa de Regularización Fiscal del SAT </t>
  </si>
  <si>
    <t>(Límite para pedirlo, último día de octubre)</t>
  </si>
  <si>
    <t>Declaración Anual PM</t>
  </si>
  <si>
    <t>Cierre Fiscal/
Planeación Fiscal</t>
  </si>
  <si>
    <t>Declaración Anual PF</t>
  </si>
  <si>
    <t>Coeficiente de utilidad (Aplicación)</t>
  </si>
  <si>
    <t>Contabilidad Integral</t>
  </si>
  <si>
    <t>Timbrado de nomina ejercicio anterior para deduccion completa en anual</t>
  </si>
  <si>
    <t>Reparto de utlidades</t>
  </si>
  <si>
    <t>CUCA &amp; CUFIN</t>
  </si>
  <si>
    <t>CFDI de retenciones por pagos al extranjero</t>
  </si>
  <si>
    <t>Inventarios</t>
  </si>
  <si>
    <t>Corporativo - Mercantil</t>
  </si>
  <si>
    <t>Gobierno Corporativo*</t>
  </si>
  <si>
    <t>*De la mano con Due Dillingence</t>
  </si>
  <si>
    <t>Actas de asamblea Edos. Financieros</t>
  </si>
  <si>
    <t>Contratos mercantiles</t>
  </si>
  <si>
    <t>Constitución y restructuración de empresas</t>
  </si>
  <si>
    <t>Beneficiario Controlador (Con fiscal)</t>
  </si>
  <si>
    <t>Laboral-Nóminas</t>
  </si>
  <si>
    <t>Compliance Laboral (Individual y colectivo)</t>
  </si>
  <si>
    <t>Inspecciones STPS (Seguridad e higiene y REPSE)</t>
  </si>
  <si>
    <t>Nómina</t>
  </si>
  <si>
    <t>Litigio Laboral</t>
  </si>
  <si>
    <t>Informativas ICSOE y SISUB</t>
  </si>
  <si>
    <t>Pago PTU</t>
  </si>
  <si>
    <t>Inspecciones PTU</t>
  </si>
  <si>
    <t>Inspecciones Aguinaldo</t>
  </si>
  <si>
    <t>Pago Aguinaldo</t>
  </si>
  <si>
    <t>Servicio</t>
  </si>
  <si>
    <t>Notas</t>
  </si>
  <si>
    <t>Dictamen Fiscal (Aviso y presentación)</t>
  </si>
  <si>
    <t>El dictamen se presenta a más tardar el 15 de mayo</t>
  </si>
  <si>
    <t>Dictamen Fiscal (Empuje para sig año)</t>
  </si>
  <si>
    <t>Auditoría de estados financieros como detección de riesgo</t>
  </si>
  <si>
    <t>Aquellas empresas que no se dictaminen para efectos fiscales, deben contar con una revisión de sus cifras financieras y fiscales, para identificar si tienen alguna conducta de riesgo según el SATEvaluar una reactivación en septiembre</t>
  </si>
  <si>
    <t>Dictamen CDMX (Aviso y presentación)</t>
  </si>
  <si>
    <t>En CDMX, el aviso se presenta a más tardar el 15 de marzo, y el dictamen se presenta a más tardar el 31 de mayo. Sólo Nóminas y Predial</t>
  </si>
  <si>
    <t>Dictamen EdoMex Impuesto Nómina (A y P)</t>
  </si>
  <si>
    <t>En EdoMex, el aviso se presenta a más tardar el 31 de julio, y el dictamen se presenta a más tardar el 31 de agosto</t>
  </si>
  <si>
    <t>Auditoría de contribuciones locales</t>
  </si>
  <si>
    <t>Dictamen IMSS (Aviso y presentación)</t>
  </si>
  <si>
    <t>El aviso se presenta a más tardar el 30 de abril, y el dictamen se presenta a más tardar el 30 de septiembre</t>
  </si>
  <si>
    <t>Auditoría INFONAVIT</t>
  </si>
  <si>
    <t>Dictamen Infonavit (Aviso y presentación)</t>
  </si>
  <si>
    <t>El aviso se presenta a más tardar el 30 de abril, y el dictamen se presenta en los seis meses posteriores</t>
  </si>
  <si>
    <t>Precios de Transferencia</t>
  </si>
  <si>
    <t>DIOPR</t>
  </si>
  <si>
    <t>Actualmente tenemos este servicio en el área de Auditoría, sería bueno evaluar si es conveniente mantenerlo ahí. Dividir la promoción en 3 etapas (Diagnóstico, Conversión, Remate)</t>
  </si>
  <si>
    <t xml:space="preserve">Fecha de inicio de promoción  </t>
  </si>
  <si>
    <t xml:space="preserve">Fecha de finalización de promoción  </t>
  </si>
  <si>
    <t>Asesoría Fiscal</t>
  </si>
  <si>
    <t>Consultas fiscales especializadas</t>
  </si>
  <si>
    <t>Si los clientes están dudosos en aplicar una ley, un criterio etc., es preferible que analicemos a profundidad para darles certeza sobre el correcto tratamiento que hay que darle a la operación, por ejemplo, el Programa de regularización del SAT</t>
  </si>
  <si>
    <t>Contestación a cartas invitación o vigilancia profunda</t>
  </si>
  <si>
    <t>Este podemos dividirlo en tres picos</t>
  </si>
  <si>
    <t>Defensa Fiscal</t>
  </si>
  <si>
    <t>Acompañamiento y asesoramiento en Auditorías por el SAT</t>
  </si>
  <si>
    <t>Para prevenir la determinación de créditos fiscales excesivos y/o tener un buen soporte para poder impugnar mediante un recurso o juicio.</t>
  </si>
  <si>
    <t>Declaración anual</t>
  </si>
  <si>
    <t>Declaración anual PM
Declaración anual PF</t>
  </si>
  <si>
    <t>Cierre Fiscal</t>
  </si>
  <si>
    <t>Disminución del Coeficiente de Utilidad</t>
  </si>
  <si>
    <t>Es una especie de beneficio que se aplica a partir del segundo semestre del año para disminuir el pago de impuestos, hay que hacer un análisis para determinar si se puede aplicar y cómo</t>
  </si>
  <si>
    <t>Servicio de contabilidad (llevar la contabilidad de la empresa)</t>
  </si>
  <si>
    <t>Considerar 3 picos: enero - febrero, julio y octubre</t>
  </si>
  <si>
    <t xml:space="preserve">Split % </t>
  </si>
  <si>
    <t>Temas-servicios</t>
  </si>
  <si>
    <t>Inicio</t>
  </si>
  <si>
    <t>Duración</t>
  </si>
  <si>
    <t>Temas, subservicios</t>
  </si>
  <si>
    <t>Reparto de utilidades</t>
  </si>
  <si>
    <t>CUCA y CUFIN</t>
  </si>
  <si>
    <t>Considerar reactivación ligera en mayo–junio (cuando piensan en dividendos) y en sep–oct (planeación)</t>
  </si>
  <si>
    <t>Gobierno Corporativo</t>
  </si>
  <si>
    <t>Actas de asamblea</t>
  </si>
  <si>
    <t>Actas de asamblea para la aprobación de Estados Financieros</t>
  </si>
  <si>
    <t>Se realizan una vez presentada la declaracióna anual, idealmente en abril</t>
  </si>
  <si>
    <t>Beneficiario Controlador</t>
  </si>
  <si>
    <t>Va de la mano con el área fiscal</t>
  </si>
  <si>
    <t xml:space="preserve">Constitución y restructuración de empresas										</t>
  </si>
  <si>
    <t>Laboral - Nóminas</t>
  </si>
  <si>
    <t>Inspecciones STPS</t>
  </si>
  <si>
    <t>Inspecciones en materia de REPSE
Inspecciones en materia de Seguridad e Higiene</t>
  </si>
  <si>
    <t>Estas son las más fuertes para el 2026, pero pueden ser de cualquier tipo</t>
  </si>
  <si>
    <t>Blindaje laboral</t>
  </si>
  <si>
    <t>Cumplimiento con la normativa en materia individual
Cumplimiento con la normativa en materia colectiva</t>
  </si>
  <si>
    <t>En la primera etapa manejarlo desde el enfoque de prevencion, y la otra en cierre sin contingencias</t>
  </si>
  <si>
    <t>Administración de Nómina</t>
  </si>
  <si>
    <t>Cálculo de Nómina
Timbrado de Nómina</t>
  </si>
  <si>
    <t>Valorar una tercera reactivación en octubre</t>
  </si>
  <si>
    <t>Informativas ICSOE-SISUB</t>
  </si>
  <si>
    <t>Se presentan en enero, mayo, y septiembre a más tardar el día 17</t>
  </si>
  <si>
    <t>PTU</t>
  </si>
  <si>
    <t>Cálculo para pago y asesoría en caso de inspecciones</t>
  </si>
  <si>
    <t>Pago en mayo, inspecciones durante los siguientes tres meses</t>
  </si>
  <si>
    <t>Aguinaldo</t>
  </si>
  <si>
    <t>Pago en diciembre, inspecciones durante los siguientes tres meses</t>
  </si>
  <si>
    <t>Resumen ejecutivo, base para el plan de marketing 2026</t>
  </si>
  <si>
    <t>Proyecto:</t>
  </si>
  <si>
    <t>LOFTON Servicios Integrales (México)</t>
  </si>
  <si>
    <t>Objetivo de negocio</t>
  </si>
  <si>
    <t>aumentar generación de leads, priorizando captación por formulario (para calificar mejor desde el primer contacto).</t>
  </si>
  <si>
    <t>Stack actual</t>
  </si>
  <si>
    <t>sitio en WordPress y CRM Kommo.</t>
  </si>
  <si>
    <t>Diagnóstico ejecutivo</t>
  </si>
  <si>
    <t>Hoy existe una brecha clara entre atracción y conversión: el sitio (especialmente el contenido tipo artículos) logra atraer visitas, pero el recorrido hacia “dejar datos” tiene fricciones y elementos que reducen la confianza. En paralelo, hay señales de problemas de performance y SEO técnico que limitan el posicionamiento orgánico y debilitan la visibilidad futura en buscadores basados en IA.</t>
  </si>
  <si>
    <t>Impacto en marketing</t>
  </si>
  <si>
    <t>Menos leads de los que podrías capturar con el tráfico actual, por falta de CTAs y formularios integrados en puntos clave.</t>
  </si>
  <si>
    <t>Pérdida de confianza por inconsistencias visuales, elementos confusos (como un carrito sin función) y detalles de presentación que no comunican nivel profesional.</t>
  </si>
  <si>
    <t>Menor desempeño orgánico si el sitio mantiene cargas pesadas y problemas técnicos, especialmente en móvil.</t>
  </si>
  <si>
    <t>Prioridades inmediatas recomendadas</t>
  </si>
  <si>
    <t>Credibilidad y coherencia comercial</t>
  </si>
  <si>
    <t>corregir información de oficinas, mejorar consistencia visual, eliminar elementos que confunden y ajustar formularios para que la experiencia se sienta profesional (evitar señales que “devalúen” la marca).</t>
  </si>
  <si>
    <t>Conversion rate (formulario como meta principal):</t>
  </si>
  <si>
    <t>habilitar rutas claras de captura (CTAs y formularios) en páginas de servicios y artículos, con un journey directo y sin fricción hacia contacto.</t>
  </si>
  <si>
    <t>Base técnica para SEO y AI search:</t>
  </si>
  <si>
    <t>reducir fricción de carga (LCP/DOM/JS) y corregir issues SEO on-page (metadatos, estructura, recursos y calidad de implementación) para que el contenido “rankee” y también sea interpretable por sistemas de IA.</t>
  </si>
  <si>
    <t>Qué significan los términos técnicos</t>
  </si>
  <si>
    <t>LCP: cuánto tarda en aparecer el elemento principal visible; si es alto, el sitio “se siente lento”.
DOM: cuántos elementos componen la página; si es enorme, pesa y se traba más, sobre todo en móvil.
JS: scripts que habilitan funciones; si son muchos o pesados, retrasan carga e interacción (y bajan conversiones).</t>
  </si>
  <si>
    <t>Cómo mediremos avance (KPIs ejecutivos)</t>
  </si>
  <si>
    <t>Leads por formulario (total y por fuente orgánica).
Tasa de conversión a formulario en artículos y páginas de servicios.
Mejoras en performance móvil (LCP y estabilidad de carga) y reducción de errores SEO relevantes.
Tráfico en sitio web: fuentes, sesiones activas, retención</t>
  </si>
  <si>
    <t>Slide 1</t>
  </si>
  <si>
    <t xml:space="preserve">Antes de hablar de marketing, hablemos del negocio </t>
  </si>
  <si>
    <t>¿Qué es Lofton hoy?</t>
  </si>
  <si>
    <t xml:space="preserve">Slide 1 </t>
  </si>
  <si>
    <t>Portada</t>
  </si>
  <si>
    <t>¿Dónde está el riesgo?</t>
  </si>
  <si>
    <t xml:space="preserve">Slide 2 </t>
  </si>
  <si>
    <t>¿Qué buscamos con este plan?</t>
  </si>
  <si>
    <t>¿Dónde está la oportunidad de crecimiento?</t>
  </si>
  <si>
    <t>Slide 3</t>
  </si>
  <si>
    <t>Planteamiento - introducción al diagnostico</t>
  </si>
  <si>
    <t>Slide 4</t>
  </si>
  <si>
    <t>Diagnostico - Web</t>
  </si>
  <si>
    <t>Slide 2</t>
  </si>
  <si>
    <t>Lo que hoy limita el crecimiento</t>
  </si>
  <si>
    <t>Slide 5</t>
  </si>
  <si>
    <t>Diagnostico - SEO</t>
  </si>
  <si>
    <t>Sitio web que no filtra ni comunica bien</t>
  </si>
  <si>
    <t>Slide 6</t>
  </si>
  <si>
    <t>Diagnostico - Linkedin</t>
  </si>
  <si>
    <t>Branding inconsistente</t>
  </si>
  <si>
    <t>Slide 7</t>
  </si>
  <si>
    <t xml:space="preserve">Diagnostico - Redes Sociales </t>
  </si>
  <si>
    <t>Funnel roto</t>
  </si>
  <si>
    <t>Slide 8</t>
  </si>
  <si>
    <t xml:space="preserve">Diagnostico - Comercial </t>
  </si>
  <si>
    <t>Aquí tengo duda de qué va</t>
  </si>
  <si>
    <t>Leads de baja calidad</t>
  </si>
  <si>
    <t>Slide 9</t>
  </si>
  <si>
    <t>Diágnostico - Panorama general (datos críticos)</t>
  </si>
  <si>
    <t>Especialistas saturados</t>
  </si>
  <si>
    <t>Slide 10</t>
  </si>
  <si>
    <t xml:space="preserve">Diágnostico - Resumen general </t>
  </si>
  <si>
    <t>¿cuál es la diferencia de este con este?</t>
  </si>
  <si>
    <t>Slide 11</t>
  </si>
  <si>
    <t xml:space="preserve">Diagnostico - Planteamiento de KPI's </t>
  </si>
  <si>
    <t>Estrategia general</t>
  </si>
  <si>
    <t>Slide 12</t>
  </si>
  <si>
    <t xml:space="preserve">Break 1 - Quick Wins antediagnostico </t>
  </si>
  <si>
    <t>¿Qué debemos hacer para solucionar lo que no está funcionando?</t>
  </si>
  <si>
    <t>Slide 13</t>
  </si>
  <si>
    <t>¿Cómo se ve LOFTON?</t>
  </si>
  <si>
    <t xml:space="preserve">Panorama de como son los gráficos, imagen, etc. </t>
  </si>
  <si>
    <t>¿Cómo vamos a ayudar a Lofton? Construir un sistema que genere oportunidades calificadas</t>
  </si>
  <si>
    <t>Slide 14</t>
  </si>
  <si>
    <t>Cuales son los servicios estrella</t>
  </si>
  <si>
    <t>Slide 15</t>
  </si>
  <si>
    <t>Cuales son las temporalidades</t>
  </si>
  <si>
    <t>Enfoque y prioridades</t>
  </si>
  <si>
    <t>Slide 16</t>
  </si>
  <si>
    <t xml:space="preserve">Como promocionamos estos servicios </t>
  </si>
  <si>
    <t xml:space="preserve">Planteamiento general de la campana de Gauss- Micro campañas de 3 meses anticipando la necesidad del consumidor </t>
  </si>
  <si>
    <t>Enfocarnos en servicios prioritarios</t>
  </si>
  <si>
    <t>Slide 17</t>
  </si>
  <si>
    <t>Como se ve esto en un calendario</t>
  </si>
  <si>
    <t>(Siento que este slide nos lo podríamos ahorrar, si mostramos bien la temporalidad en la gráfica de gauss)</t>
  </si>
  <si>
    <t>¿A quién le vamos a hablar?</t>
  </si>
  <si>
    <t>Slide 18</t>
  </si>
  <si>
    <t>Siguientes pasos -  Primeras acciones</t>
  </si>
  <si>
    <t>¿A quienes no vamos a perseguir?</t>
  </si>
  <si>
    <t>Slide 19</t>
  </si>
  <si>
    <t>Lift de marca - LOTON (Graficos, firmas y etc)</t>
  </si>
  <si>
    <t>Slide 20</t>
  </si>
  <si>
    <t xml:space="preserve">Planteamiento Sitio web nuevo </t>
  </si>
  <si>
    <t>Servicios</t>
  </si>
  <si>
    <t>Slide 21</t>
  </si>
  <si>
    <t>Primeras publicaciones</t>
  </si>
  <si>
    <t>Definir temas, enfoque y formatos sugeridos</t>
  </si>
  <si>
    <t>Servicios de entrada (prioritarios)</t>
  </si>
  <si>
    <t>Slide 22</t>
  </si>
  <si>
    <t>Servicios recurrentes</t>
  </si>
  <si>
    <t>Slide 23</t>
  </si>
  <si>
    <t>Servicios premium/Otros</t>
  </si>
  <si>
    <t>Slide 24</t>
  </si>
  <si>
    <t>Slide 25</t>
  </si>
  <si>
    <t>Funnel Marketing</t>
  </si>
  <si>
    <t>Slide 26</t>
  </si>
  <si>
    <t>Contenido → Filtro → Diagnóstico → Propuesta</t>
  </si>
  <si>
    <t>(Agregar responsables)</t>
  </si>
  <si>
    <t>Roadmap - Pasos a seguir</t>
  </si>
  <si>
    <t>Fases claras</t>
  </si>
  <si>
    <t>Qué necesitamos de Lofton para que esto funcione</t>
  </si>
  <si>
    <t>Marketing genera y filtra</t>
  </si>
  <si>
    <t>Socios diagnostican y cierran</t>
  </si>
  <si>
    <t>Disponibilidad mínima de socios (para contenidos)</t>
  </si>
  <si>
    <t>Información de márgenes (objetivos)</t>
  </si>
  <si>
    <t>Aprobaciones ágiles</t>
  </si>
  <si>
    <t>Disciplina de uso de materiales</t>
  </si>
  <si>
    <t>Qué esperar y qué no</t>
  </si>
  <si>
    <t>Este slide debe ir dedicado a concientizar a Lofton sobre el tiempo que tomará lograr lo prometido, a fin de no generar expectativas irreales, y porqué apegarnos a lo propuesto es lo mejor</t>
  </si>
  <si>
    <t>Si es posible, podemos agregar algunos KPIs</t>
  </si>
  <si>
    <t>Identificados por KV</t>
  </si>
  <si>
    <t>Garrido Licona y Asociados</t>
  </si>
  <si>
    <t>MNP Consultores</t>
  </si>
  <si>
    <t>Salles Sainz - Grant Thornton, S.C.</t>
  </si>
  <si>
    <t>BHR México</t>
  </si>
  <si>
    <t>JA Del Río</t>
  </si>
  <si>
    <t>Forvis Mazars</t>
  </si>
  <si>
    <t>Skatt</t>
  </si>
  <si>
    <t>Chevez Ruiz Zamarripa</t>
  </si>
  <si>
    <t>Identificados por Socios</t>
  </si>
  <si>
    <t>Creel, García-Cuéllar, Aiza y Enríquez, S.C.</t>
  </si>
  <si>
    <t>EY</t>
  </si>
  <si>
    <t>Deloitte</t>
  </si>
  <si>
    <t>Identificados por CHAT</t>
  </si>
  <si>
    <t>COMPETENCIA DIRECTA (misma liga estratégica)</t>
  </si>
  <si>
    <t>Estos despachos sí compiten frontalmente con Lofton por empresas medianas y grandes, con enfoque preventivo y multidisciplinario.</t>
  </si>
  <si>
    <t>Chevez, Ruiz, Zamarripa y Cía.</t>
  </si>
  <si>
    <t>Muy fuertes en fiscal y defensa</t>
  </si>
  <si>
    <t>Marca de alto nivel</t>
  </si>
  <si>
    <t>Más legal que operativo</t>
  </si>
  <si>
    <t>📌 Compite con Lofton en empresas grandes, pero menos cercano en operación diaria.</t>
  </si>
  <si>
    <t>Ritch Mueller</t>
  </si>
  <si>
    <t>Legal corporativo y fiscal premium</t>
  </si>
  <si>
    <t>Enfoque transaccional</t>
  </si>
  <si>
    <t>📌 Compite en proyectos puntuales, no en acompañamiento integral continuo.</t>
  </si>
  <si>
    <t>Basham, Ringe y Correa</t>
  </si>
  <si>
    <t>Full service legal</t>
  </si>
  <si>
    <t>Clientes grandes y corporativos</t>
  </si>
  <si>
    <t>📌 Más legal que fiscal-operativo; Lofton es más “hands-on”.</t>
  </si>
  <si>
    <t>COMPETENCIA HÍBRIDA (muy relevante)</t>
  </si>
  <si>
    <t>Aquí están los despachos que más ruido le hacen a Lofton porque combinan varias disciplinas.</t>
  </si>
  <si>
    <t>KPMG México</t>
  </si>
  <si>
    <t>Auditoría, fiscal, legal, nómina</t>
  </si>
  <si>
    <t>Marca muy fuerte</t>
  </si>
  <si>
    <t>📌 Compite cuando el cliente quiere “marca”, no cercanía.</t>
  </si>
  <si>
    <t>Deloitte México</t>
  </si>
  <si>
    <t>Muy buena consultoría</t>
  </si>
  <si>
    <t>Estructuras grandes</t>
  </si>
  <si>
    <t>📌 Pierde en flexibilidad y trato personalizado frente a Lofton.</t>
  </si>
  <si>
    <t>EY México</t>
  </si>
  <si>
    <t>Fuerte en fiscal y auditoría</t>
  </si>
  <si>
    <t>📌 Más caro y menos cercano; Lofton gana en agilidad.</t>
  </si>
  <si>
    <t>👉 Conclusión clave para marketing</t>
  </si>
  <si>
    <t>Lofton no debe competir en marca, sino en:</t>
  </si>
  <si>
    <t>Cercanía</t>
  </si>
  <si>
    <t>Prevención</t>
  </si>
  <si>
    <t>Entendimiento real del negocio</t>
  </si>
  <si>
    <t>COMPETENCIA MEDIA (la más peligrosa en ventas)</t>
  </si>
  <si>
    <t>Estos despachos se parecen mucho a Lofton, pero no siempre lo dicen bien.</t>
  </si>
  <si>
    <t>Crowe México</t>
  </si>
  <si>
    <t>Auditoría, fiscal, contabilidad</t>
  </si>
  <si>
    <t>Buen balance precio-servicio</t>
  </si>
  <si>
    <t>📌 Competidor real en empresas medianas.</t>
  </si>
  <si>
    <t>BDO México</t>
  </si>
  <si>
    <t>Presencia nacional</t>
  </si>
  <si>
    <t>Buen enfoque empresarial</t>
  </si>
  <si>
    <t>📌 Muy comparable a Lofton en alcance.</t>
  </si>
  <si>
    <t>Russell Bedford México</t>
  </si>
  <si>
    <t>Red internacional</t>
  </si>
  <si>
    <t>Clientes medianos</t>
  </si>
  <si>
    <t>📌 Compite en empresas extranjeras en México.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</si>
</sst>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\-mmm"/>
  </numFmts>
  <fonts count="20" x14ac:knownFonts="1">
    <font>
      <sz val="11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2"/>
      <color theme="1"/>
      <name val="Raleway"/>
      <charset val="1"/>
    </font>
    <font>
      <b/>
      <sz val="12"/>
      <color theme="0"/>
      <name val="Raleway Medium"/>
      <charset val="1"/>
    </font>
    <font>
      <b/>
      <sz val="12"/>
      <color theme="1"/>
      <name val="Raleway Medium"/>
      <charset val="1"/>
    </font>
    <font>
      <b/>
      <sz val="12"/>
      <color theme="1"/>
      <name val="Calibri"/>
      <family val="2"/>
      <charset val="1"/>
    </font>
    <font>
      <b/>
      <sz val="12"/>
      <color theme="5" tint="-0.249977111117893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242424"/>
      <name val="Aptos Narrow"/>
    </font>
    <font>
      <b/>
      <sz val="12"/>
      <color rgb="FFFFC000"/>
      <name val="Calibri"/>
      <family val="2"/>
      <charset val="1"/>
    </font>
    <font>
      <b/>
      <sz val="11"/>
      <color rgb="FF000000"/>
      <name val="Aptos"/>
    </font>
    <font>
      <sz val="11"/>
      <color rgb="FF000000"/>
      <name val="Aptos"/>
    </font>
    <font>
      <sz val="11"/>
      <color rgb="FF000000"/>
      <name val="Calibri"/>
      <family val="2"/>
      <charset val="1"/>
    </font>
    <font>
      <b/>
      <sz val="12"/>
      <color theme="9"/>
      <name val="Calibri"/>
      <family val="2"/>
      <charset val="1"/>
    </font>
    <font>
      <sz val="11"/>
      <color rgb="FF242424"/>
      <name val="Aptos Narrow"/>
    </font>
    <font>
      <b/>
      <sz val="12"/>
      <color theme="1" tint="0.49989318521683401"/>
      <name val="Calibri"/>
      <family val="2"/>
      <charset val="1"/>
    </font>
    <font>
      <b/>
      <sz val="12"/>
      <color rgb="FFC00000"/>
      <name val="Calibri"/>
      <family val="2"/>
      <charset val="1"/>
    </font>
    <font>
      <sz val="12"/>
      <color theme="1"/>
      <name val="Calibri"/>
      <family val="2"/>
      <charset val="1"/>
    </font>
    <font>
      <b/>
      <sz val="14"/>
      <color theme="9" tint="-0.249977111117893"/>
      <name val="Calibri"/>
      <family val="2"/>
      <charset val="1"/>
    </font>
    <font>
      <sz val="12"/>
      <color rgb="FF000000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EAEAEA"/>
        <bgColor rgb="FFF2F2F2"/>
      </patternFill>
    </fill>
    <fill>
      <patternFill patternType="solid">
        <fgColor rgb="FFF58529"/>
        <bgColor rgb="FFED7D31"/>
      </patternFill>
    </fill>
    <fill>
      <patternFill patternType="solid">
        <fgColor theme="5" tint="0.59987182226020086"/>
        <bgColor rgb="FFFFE699"/>
      </patternFill>
    </fill>
    <fill>
      <patternFill patternType="solid">
        <fgColor rgb="FFFFC700"/>
        <bgColor rgb="FFFFC000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9"/>
        <bgColor rgb="FF548235"/>
      </patternFill>
    </fill>
    <fill>
      <patternFill patternType="solid">
        <fgColor theme="9" tint="0.79989013336588644"/>
        <bgColor rgb="FFEAEAEA"/>
      </patternFill>
    </fill>
    <fill>
      <patternFill patternType="solid">
        <fgColor theme="2" tint="-0.499984740745262"/>
        <bgColor rgb="FF7F7F7F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theme="5" tint="0.39988402966399123"/>
        <bgColor rgb="FFF8CBAD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7" tint="0.59987182226020086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0" tint="-0.249977111117893"/>
        <bgColor rgb="FFA9D18E"/>
      </patternFill>
    </fill>
    <fill>
      <patternFill patternType="solid">
        <fgColor theme="0" tint="-4.9989318521683403E-2"/>
        <bgColor rgb="FFEAEAEA"/>
      </patternFill>
    </fill>
    <fill>
      <patternFill patternType="solid">
        <fgColor theme="4" tint="0.79989013336588644"/>
        <bgColor rgb="FFEAEAEA"/>
      </patternFill>
    </fill>
  </fills>
  <borders count="28">
    <border>
      <left/>
      <right/>
      <top/>
      <bottom/>
      <diagonal/>
    </border>
    <border>
      <left style="thin">
        <color rgb="FF565759"/>
      </left>
      <right style="thin">
        <color rgb="FF565759"/>
      </right>
      <top style="thin">
        <color rgb="FF56575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/>
      <right/>
      <top style="mediumDashed">
        <color theme="5"/>
      </top>
      <bottom style="mediumDashed">
        <color theme="5"/>
      </bottom>
      <diagonal/>
    </border>
    <border>
      <left/>
      <right/>
      <top/>
      <bottom style="mediumDashed">
        <color theme="5"/>
      </bottom>
      <diagonal/>
    </border>
    <border>
      <left style="mediumDashed">
        <color theme="5"/>
      </left>
      <right/>
      <top style="mediumDashed">
        <color theme="5"/>
      </top>
      <bottom style="mediumDashed">
        <color theme="5"/>
      </bottom>
      <diagonal/>
    </border>
    <border>
      <left/>
      <right style="mediumDashed">
        <color theme="5"/>
      </right>
      <top style="mediumDashed">
        <color theme="5"/>
      </top>
      <bottom style="mediumDashed">
        <color theme="5"/>
      </bottom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/>
      <right/>
      <top style="mediumDashed">
        <color theme="7"/>
      </top>
      <bottom style="mediumDashed">
        <color theme="7"/>
      </bottom>
      <diagonal/>
    </border>
    <border>
      <left/>
      <right/>
      <top/>
      <bottom style="mediumDashed">
        <color theme="7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/>
      <right/>
      <top style="mediumDashed">
        <color theme="9" tint="0.39988402966399123"/>
      </top>
      <bottom style="mediumDashed">
        <color theme="9" tint="0.39988402966399123"/>
      </bottom>
      <diagonal/>
    </border>
    <border>
      <left/>
      <right/>
      <top style="mediumDashed">
        <color theme="9" tint="0.39988402966399123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theme="5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</borders>
  <cellStyleXfs count="2">
    <xf numFmtId="0" fontId="0" fillId="0" borderId="0"/>
    <xf numFmtId="0" fontId="1" fillId="0" borderId="0"/>
  </cellStyleXfs>
  <cellXfs count="107">
    <xf numFmtId="0" fontId="0" fillId="0" borderId="0" xfId="0"/>
    <xf numFmtId="9" fontId="5" fillId="0" borderId="20" xfId="0" applyNumberFormat="1" applyFont="1" applyBorder="1" applyAlignment="1">
      <alignment horizontal="center" vertical="center"/>
    </xf>
    <xf numFmtId="0" fontId="7" fillId="12" borderId="14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wrapText="1"/>
    </xf>
    <xf numFmtId="0" fontId="0" fillId="8" borderId="1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center" vertical="center" wrapText="1"/>
    </xf>
    <xf numFmtId="0" fontId="0" fillId="10" borderId="0" xfId="0" applyFill="1" applyAlignment="1">
      <alignment vertical="center" wrapText="1"/>
    </xf>
    <xf numFmtId="0" fontId="5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11" borderId="15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2" fontId="6" fillId="0" borderId="16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7" fillId="0" borderId="14" xfId="0" applyFont="1" applyBorder="1"/>
    <xf numFmtId="0" fontId="8" fillId="0" borderId="14" xfId="0" applyFont="1" applyBorder="1"/>
    <xf numFmtId="0" fontId="7" fillId="0" borderId="17" xfId="0" applyFont="1" applyBorder="1"/>
    <xf numFmtId="9" fontId="5" fillId="11" borderId="18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0" fillId="0" borderId="19" xfId="0" applyBorder="1" applyAlignment="1">
      <alignment vertical="center"/>
    </xf>
    <xf numFmtId="165" fontId="0" fillId="0" borderId="0" xfId="0" applyNumberFormat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14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14" xfId="0" applyBorder="1" applyAlignment="1">
      <alignment vertical="center"/>
    </xf>
    <xf numFmtId="9" fontId="5" fillId="0" borderId="0" xfId="0" applyNumberFormat="1" applyFont="1" applyAlignment="1">
      <alignment horizontal="center" vertical="center"/>
    </xf>
    <xf numFmtId="0" fontId="5" fillId="13" borderId="15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9" fontId="5" fillId="13" borderId="18" xfId="0" applyNumberFormat="1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7" fillId="6" borderId="14" xfId="0" applyFont="1" applyFill="1" applyBorder="1" applyAlignment="1">
      <alignment vertical="center" wrapText="1"/>
    </xf>
    <xf numFmtId="0" fontId="7" fillId="6" borderId="14" xfId="0" applyFont="1" applyFill="1" applyBorder="1" applyAlignment="1">
      <alignment vertical="center"/>
    </xf>
    <xf numFmtId="0" fontId="7" fillId="6" borderId="19" xfId="0" applyFont="1" applyFill="1" applyBorder="1" applyAlignment="1">
      <alignment vertical="center"/>
    </xf>
    <xf numFmtId="0" fontId="0" fillId="0" borderId="24" xfId="0" applyBorder="1" applyAlignment="1">
      <alignment wrapText="1"/>
    </xf>
    <xf numFmtId="0" fontId="0" fillId="0" borderId="19" xfId="0" applyBorder="1"/>
    <xf numFmtId="0" fontId="12" fillId="14" borderId="25" xfId="0" applyFont="1" applyFill="1" applyBorder="1"/>
    <xf numFmtId="0" fontId="0" fillId="0" borderId="14" xfId="0" applyBorder="1"/>
    <xf numFmtId="0" fontId="0" fillId="0" borderId="14" xfId="0" applyBorder="1" applyAlignment="1">
      <alignment wrapText="1"/>
    </xf>
    <xf numFmtId="0" fontId="5" fillId="15" borderId="15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center" vertical="center" wrapText="1"/>
    </xf>
    <xf numFmtId="9" fontId="5" fillId="15" borderId="18" xfId="0" applyNumberFormat="1" applyFont="1" applyFill="1" applyBorder="1" applyAlignment="1">
      <alignment horizontal="center" vertical="center"/>
    </xf>
    <xf numFmtId="0" fontId="7" fillId="0" borderId="0" xfId="0" applyFont="1"/>
    <xf numFmtId="0" fontId="7" fillId="8" borderId="14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5" fillId="16" borderId="1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2" fontId="15" fillId="0" borderId="0" xfId="0" applyNumberFormat="1" applyFont="1" applyAlignment="1">
      <alignment horizontal="center" vertical="center" wrapText="1"/>
    </xf>
    <xf numFmtId="9" fontId="5" fillId="16" borderId="18" xfId="0" applyNumberFormat="1" applyFont="1" applyFill="1" applyBorder="1" applyAlignment="1">
      <alignment horizontal="center" vertical="center"/>
    </xf>
    <xf numFmtId="0" fontId="14" fillId="0" borderId="14" xfId="0" applyFont="1" applyBorder="1"/>
    <xf numFmtId="9" fontId="16" fillId="8" borderId="0" xfId="0" applyNumberFormat="1" applyFont="1" applyFill="1" applyAlignment="1">
      <alignment horizontal="center" vertical="center"/>
    </xf>
    <xf numFmtId="0" fontId="5" fillId="0" borderId="0" xfId="0" applyFont="1"/>
    <xf numFmtId="0" fontId="17" fillId="0" borderId="0" xfId="0" applyFont="1" applyAlignment="1">
      <alignment wrapText="1"/>
    </xf>
    <xf numFmtId="0" fontId="17" fillId="0" borderId="0" xfId="0" applyFont="1"/>
    <xf numFmtId="0" fontId="18" fillId="0" borderId="0" xfId="0" applyFont="1"/>
    <xf numFmtId="0" fontId="6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7" fillId="18" borderId="0" xfId="0" applyFont="1" applyFill="1"/>
    <xf numFmtId="0" fontId="7" fillId="18" borderId="0" xfId="0" applyFont="1" applyFill="1" applyAlignment="1">
      <alignment wrapText="1"/>
    </xf>
    <xf numFmtId="0" fontId="0" fillId="15" borderId="0" xfId="0" applyFill="1"/>
    <xf numFmtId="0" fontId="7" fillId="12" borderId="14" xfId="0" applyFont="1" applyFill="1" applyBorder="1" applyAlignment="1">
      <alignment horizontal="left" vertical="center" wrapText="1"/>
    </xf>
    <xf numFmtId="9" fontId="5" fillId="0" borderId="22" xfId="0" applyNumberFormat="1" applyFont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3" fillId="7" borderId="26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14" fillId="0" borderId="14" xfId="0" applyFont="1" applyBorder="1" applyAlignment="1">
      <alignment horizontal="left" vertical="center"/>
    </xf>
    <xf numFmtId="0" fontId="3" fillId="9" borderId="27" xfId="0" applyFont="1" applyFill="1" applyBorder="1" applyAlignment="1">
      <alignment horizontal="center" vertical="center" wrapText="1"/>
    </xf>
    <xf numFmtId="0" fontId="7" fillId="17" borderId="14" xfId="0" applyFont="1" applyFill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19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00000000-0005-0000-0000-000006000000}"/>
  </cellStyles>
  <dxfs count="4"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C0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BE5D6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E699"/>
      <rgbColor rgb="FFC5E0B4"/>
      <rgbColor rgb="FFF4B183"/>
      <rgbColor rgb="FFEAEAEA"/>
      <rgbColor rgb="FFF8CBAD"/>
      <rgbColor rgb="FF3366FF"/>
      <rgbColor rgb="FF33CCCC"/>
      <rgbColor rgb="FFA9D18E"/>
      <rgbColor rgb="FFFFC700"/>
      <rgbColor rgb="FFF58529"/>
      <rgbColor rgb="FFED7D31"/>
      <rgbColor rgb="FF767171"/>
      <rgbColor rgb="FF70AD47"/>
      <rgbColor rgb="FF225A40"/>
      <rgbColor rgb="FF339966"/>
      <rgbColor rgb="FF003300"/>
      <rgbColor rgb="FF565759"/>
      <rgbColor rgb="FFC55A11"/>
      <rgbColor rgb="FF993366"/>
      <rgbColor rgb="FF1F4E78"/>
      <rgbColor rgb="FF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9"/>
  <sheetViews>
    <sheetView zoomScaleNormal="100" workbookViewId="0">
      <pane ySplit="1" topLeftCell="A20" activePane="bottomLeft" state="frozen"/>
      <selection pane="bottomLeft" activeCell="G9" sqref="G9"/>
    </sheetView>
  </sheetViews>
  <sheetFormatPr baseColWidth="10" defaultColWidth="11.5" defaultRowHeight="15" customHeight="1" x14ac:dyDescent="0.2"/>
  <cols>
    <col min="1" max="1" width="19.33203125" style="15" customWidth="1"/>
    <col min="2" max="2" width="23" style="15" customWidth="1"/>
    <col min="3" max="3" width="19.33203125" style="15" customWidth="1"/>
    <col min="4" max="4" width="23.5" style="15" customWidth="1"/>
    <col min="5" max="5" width="30" style="15" customWidth="1"/>
    <col min="6" max="12" width="19.33203125" style="15" customWidth="1"/>
  </cols>
  <sheetData>
    <row r="1" spans="1:12" ht="24.75" customHeight="1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</row>
    <row r="2" spans="1:12" ht="24.75" customHeight="1" x14ac:dyDescent="0.2">
      <c r="A2" s="14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30" customHeight="1" x14ac:dyDescent="0.2">
      <c r="A3" s="13" t="s">
        <v>13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16.5" customHeight="1" x14ac:dyDescent="0.2">
      <c r="A4" s="18"/>
      <c r="B4" s="18"/>
      <c r="C4" s="19"/>
      <c r="D4" s="19"/>
      <c r="E4" s="19" t="s">
        <v>14</v>
      </c>
      <c r="F4" s="18"/>
      <c r="G4" s="18"/>
      <c r="H4" s="18"/>
      <c r="I4" s="18"/>
      <c r="J4" s="18"/>
      <c r="K4" s="18"/>
      <c r="L4" s="18"/>
    </row>
    <row r="5" spans="1:12" ht="30" customHeight="1" x14ac:dyDescent="0.2">
      <c r="A5" s="13" t="s">
        <v>15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 ht="48.75" customHeight="1" x14ac:dyDescent="0.2">
      <c r="A6" s="20"/>
      <c r="B6" s="17"/>
      <c r="C6" s="21" t="s">
        <v>16</v>
      </c>
      <c r="D6" s="22"/>
      <c r="E6" s="22" t="s">
        <v>17</v>
      </c>
      <c r="F6" s="20"/>
      <c r="G6" s="21" t="s">
        <v>18</v>
      </c>
      <c r="H6" s="22" t="s">
        <v>19</v>
      </c>
      <c r="I6" s="18"/>
      <c r="J6" s="18"/>
      <c r="K6" s="18"/>
      <c r="L6" s="18"/>
    </row>
    <row r="7" spans="1:12" ht="30" customHeight="1" x14ac:dyDescent="0.2">
      <c r="A7" s="13" t="s">
        <v>20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 ht="39" customHeight="1" x14ac:dyDescent="0.2">
      <c r="A8" s="18"/>
      <c r="B8" s="19"/>
      <c r="C8" s="19"/>
      <c r="D8" s="19" t="s">
        <v>21</v>
      </c>
      <c r="F8" s="18"/>
      <c r="G8" s="18"/>
      <c r="H8" s="18"/>
      <c r="I8" s="19" t="s">
        <v>22</v>
      </c>
      <c r="J8" s="18"/>
      <c r="K8" s="18"/>
      <c r="L8" s="18"/>
    </row>
    <row r="9" spans="1:12" ht="61.5" customHeight="1" x14ac:dyDescent="0.2">
      <c r="A9" s="18"/>
      <c r="B9" s="22"/>
      <c r="C9" s="22"/>
      <c r="D9" s="22" t="s">
        <v>23</v>
      </c>
      <c r="F9" s="18"/>
      <c r="G9" s="18"/>
      <c r="H9" s="18"/>
      <c r="I9" s="18"/>
      <c r="J9" s="22" t="s">
        <v>24</v>
      </c>
      <c r="K9" s="18"/>
      <c r="L9" s="18"/>
    </row>
    <row r="10" spans="1:12" ht="46.5" customHeight="1" x14ac:dyDescent="0.2">
      <c r="A10" s="18"/>
      <c r="B10" s="18"/>
      <c r="C10" s="22"/>
      <c r="D10" s="22"/>
      <c r="E10" s="22" t="s">
        <v>25</v>
      </c>
      <c r="F10" s="18"/>
      <c r="G10" s="18"/>
      <c r="H10" s="18"/>
      <c r="I10" s="18"/>
      <c r="J10" s="18"/>
      <c r="K10" s="18"/>
      <c r="L10" s="18"/>
    </row>
    <row r="11" spans="1:12" ht="15" customHeight="1" x14ac:dyDescent="0.2">
      <c r="A11" s="18"/>
      <c r="B11" s="18"/>
      <c r="C11" s="18"/>
      <c r="F11" s="18"/>
      <c r="G11" s="18"/>
      <c r="H11" s="18"/>
      <c r="I11" s="18"/>
      <c r="J11" s="18"/>
      <c r="K11" s="18"/>
      <c r="L11" s="18"/>
    </row>
    <row r="12" spans="1:12" ht="15" customHeight="1" x14ac:dyDescent="0.2">
      <c r="A12" s="18"/>
      <c r="B12" s="18"/>
      <c r="C12" s="18"/>
      <c r="F12" s="18"/>
      <c r="G12" s="18"/>
      <c r="H12" s="18"/>
      <c r="I12" s="18"/>
      <c r="J12" s="18"/>
      <c r="K12" s="18"/>
      <c r="L12" s="18"/>
    </row>
    <row r="13" spans="1:12" ht="15" customHeight="1" x14ac:dyDescent="0.2">
      <c r="A13" s="18"/>
      <c r="B13" s="18"/>
      <c r="C13" s="18"/>
      <c r="F13" s="18"/>
      <c r="G13" s="18"/>
      <c r="H13" s="18"/>
      <c r="I13" s="18"/>
      <c r="J13" s="18"/>
      <c r="K13" s="18"/>
      <c r="L13" s="18"/>
    </row>
    <row r="14" spans="1:12" ht="24.75" customHeight="1" x14ac:dyDescent="0.2">
      <c r="A14" s="12" t="s">
        <v>26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ht="40.5" customHeight="1" x14ac:dyDescent="0.2">
      <c r="A15" s="11" t="s">
        <v>27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2" ht="48" customHeight="1" x14ac:dyDescent="0.2">
      <c r="A16" s="10" t="s">
        <v>28</v>
      </c>
      <c r="B16" s="10"/>
      <c r="C16" s="10"/>
      <c r="D16" s="10"/>
      <c r="E16" s="10"/>
      <c r="F16" s="10"/>
      <c r="G16" s="10"/>
      <c r="H16" s="10"/>
      <c r="I16" s="10"/>
      <c r="J16" s="24" t="s">
        <v>29</v>
      </c>
      <c r="K16" s="25"/>
      <c r="L16" s="25"/>
    </row>
    <row r="17" spans="1:15" ht="49.5" customHeight="1" x14ac:dyDescent="0.2">
      <c r="A17" s="24"/>
      <c r="B17" s="24"/>
      <c r="C17" s="24" t="s">
        <v>30</v>
      </c>
      <c r="H17" s="18"/>
      <c r="I17" s="18"/>
      <c r="J17" s="24"/>
      <c r="K17" s="23"/>
      <c r="L17" s="23" t="s">
        <v>31</v>
      </c>
    </row>
    <row r="18" spans="1:15" ht="49.5" customHeight="1" x14ac:dyDescent="0.2">
      <c r="A18" s="18"/>
      <c r="B18" s="26"/>
      <c r="C18" s="26"/>
      <c r="D18" s="24" t="s">
        <v>32</v>
      </c>
      <c r="H18" s="18"/>
      <c r="I18" s="18"/>
      <c r="J18" s="26"/>
      <c r="K18" s="26"/>
      <c r="L18" s="26"/>
    </row>
    <row r="19" spans="1:15" ht="49.5" customHeight="1" x14ac:dyDescent="0.2">
      <c r="A19" s="18"/>
      <c r="B19" s="18"/>
      <c r="C19" s="18"/>
      <c r="D19" s="18"/>
      <c r="E19" s="23"/>
      <c r="F19" s="23"/>
      <c r="G19" s="23" t="s">
        <v>33</v>
      </c>
      <c r="H19" s="18"/>
      <c r="I19" s="18"/>
      <c r="J19" s="18"/>
      <c r="K19" s="18"/>
      <c r="L19" s="18"/>
    </row>
    <row r="20" spans="1:15" ht="24.75" customHeight="1" x14ac:dyDescent="0.2">
      <c r="A20" s="9" t="s">
        <v>34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5" ht="49.5" customHeight="1" x14ac:dyDescent="0.2">
      <c r="A21" s="26"/>
      <c r="B21" s="26" t="s">
        <v>35</v>
      </c>
      <c r="C21" s="18"/>
      <c r="D21" s="27"/>
      <c r="E21" s="26" t="s">
        <v>36</v>
      </c>
      <c r="F21" s="18"/>
      <c r="G21" s="18"/>
      <c r="H21" s="18"/>
      <c r="I21" s="18"/>
      <c r="J21" s="26"/>
      <c r="K21" s="26"/>
      <c r="L21" s="26" t="s">
        <v>37</v>
      </c>
    </row>
    <row r="22" spans="1:15" ht="49.5" customHeight="1" x14ac:dyDescent="0.2">
      <c r="A22" s="26" t="s">
        <v>38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6"/>
    </row>
    <row r="23" spans="1:15" ht="4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26"/>
      <c r="K23" s="26"/>
      <c r="L23" s="26" t="s">
        <v>39</v>
      </c>
    </row>
    <row r="24" spans="1:15" ht="1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5" ht="24.75" customHeight="1" x14ac:dyDescent="0.2">
      <c r="A25" s="8" t="s">
        <v>40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5" ht="24.75" customHeight="1" x14ac:dyDescent="0.2">
      <c r="A26" s="7" t="s">
        <v>41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O26" t="s">
        <v>42</v>
      </c>
    </row>
    <row r="27" spans="1:15" ht="49.5" customHeight="1" x14ac:dyDescent="0.2">
      <c r="A27" s="18"/>
      <c r="B27" s="28"/>
      <c r="C27" s="28"/>
      <c r="D27" s="28" t="s">
        <v>43</v>
      </c>
      <c r="E27" s="18"/>
      <c r="F27" s="18"/>
      <c r="G27" s="18"/>
      <c r="H27" s="18"/>
      <c r="I27" s="18"/>
      <c r="J27" s="18"/>
      <c r="K27" s="18"/>
      <c r="L27" s="18"/>
    </row>
    <row r="28" spans="1:15" ht="24.75" customHeight="1" x14ac:dyDescent="0.2">
      <c r="A28" s="7" t="s">
        <v>44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5" ht="24.75" customHeight="1" x14ac:dyDescent="0.2">
      <c r="A29" s="6" t="s">
        <v>45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5" ht="24.75" customHeight="1" x14ac:dyDescent="0.2">
      <c r="A30" s="6" t="s">
        <v>46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5" ht="24.75" customHeight="1" x14ac:dyDescent="0.2">
      <c r="A31" s="18"/>
      <c r="B31" s="29"/>
      <c r="C31" s="29"/>
      <c r="D31" s="18"/>
      <c r="E31" s="18"/>
      <c r="F31" s="18"/>
      <c r="G31" s="18"/>
      <c r="J31" s="18"/>
      <c r="K31" s="18"/>
      <c r="L31" s="18"/>
    </row>
    <row r="32" spans="1:15" ht="1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12" ht="24.75" customHeight="1" x14ac:dyDescent="0.2">
      <c r="A33" s="5" t="s">
        <v>47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24.75" customHeight="1" x14ac:dyDescent="0.2">
      <c r="A34" s="4" t="s">
        <v>48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24.75" customHeight="1" x14ac:dyDescent="0.2">
      <c r="A35" s="4" t="s">
        <v>49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24.75" customHeight="1" x14ac:dyDescent="0.2">
      <c r="A36" s="4" t="s">
        <v>50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24.75" customHeight="1" x14ac:dyDescent="0.2">
      <c r="A37" s="4" t="s">
        <v>51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31.5" customHeight="1" x14ac:dyDescent="0.2">
      <c r="A38" s="30" t="s">
        <v>52</v>
      </c>
      <c r="C38" s="18"/>
      <c r="D38" s="30"/>
      <c r="E38" s="30" t="s">
        <v>52</v>
      </c>
      <c r="F38" s="18"/>
      <c r="G38" s="18"/>
      <c r="H38" s="30"/>
      <c r="I38" s="30" t="s">
        <v>52</v>
      </c>
      <c r="L38" s="30"/>
    </row>
    <row r="39" spans="1:12" ht="24.75" customHeight="1" x14ac:dyDescent="0.2">
      <c r="C39" s="31"/>
      <c r="D39" s="31"/>
      <c r="E39" s="30" t="s">
        <v>53</v>
      </c>
      <c r="F39" s="31"/>
      <c r="G39" s="31"/>
      <c r="H39" s="30" t="s">
        <v>54</v>
      </c>
      <c r="I39" s="18"/>
      <c r="L39" s="18"/>
    </row>
    <row r="40" spans="1:12" ht="24.75" customHeight="1" x14ac:dyDescent="0.2">
      <c r="A40" s="4" t="s">
        <v>55</v>
      </c>
      <c r="B40" s="4"/>
      <c r="C40" s="18"/>
      <c r="D40" s="18"/>
      <c r="E40" s="18"/>
      <c r="F40" s="18"/>
      <c r="G40" s="18"/>
      <c r="H40" s="18"/>
      <c r="I40" s="18"/>
      <c r="J40" s="31"/>
      <c r="K40" s="31"/>
      <c r="L40" s="31" t="s">
        <v>56</v>
      </c>
    </row>
    <row r="41" spans="1:12" ht="1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6" spans="1:12" ht="15.75" customHeight="1" x14ac:dyDescent="0.2">
      <c r="A46" s="15" t="str">
        <f>A2</f>
        <v>Auditoría</v>
      </c>
    </row>
    <row r="47" spans="1:12" ht="15.75" customHeight="1" x14ac:dyDescent="0.2">
      <c r="A47" s="15" t="str">
        <f>A14</f>
        <v>Contabilidad - Fiscal</v>
      </c>
    </row>
    <row r="48" spans="1:12" ht="15.75" customHeight="1" x14ac:dyDescent="0.2">
      <c r="A48" s="15" t="str">
        <f>A25</f>
        <v>Corporativo - Mercantil</v>
      </c>
    </row>
    <row r="49" spans="1:1" ht="15.75" customHeight="1" x14ac:dyDescent="0.2">
      <c r="A49" s="15" t="str">
        <f>A33</f>
        <v>Laboral-Nóminas</v>
      </c>
    </row>
  </sheetData>
  <mergeCells count="19">
    <mergeCell ref="A35:L35"/>
    <mergeCell ref="A36:L36"/>
    <mergeCell ref="A37:L37"/>
    <mergeCell ref="A40:B40"/>
    <mergeCell ref="A28:L28"/>
    <mergeCell ref="A29:L29"/>
    <mergeCell ref="A30:L30"/>
    <mergeCell ref="A33:L33"/>
    <mergeCell ref="A34:L34"/>
    <mergeCell ref="A15:L15"/>
    <mergeCell ref="A16:I16"/>
    <mergeCell ref="A20:L20"/>
    <mergeCell ref="A25:L25"/>
    <mergeCell ref="A26:L26"/>
    <mergeCell ref="A2:L2"/>
    <mergeCell ref="A3:L3"/>
    <mergeCell ref="A5:L5"/>
    <mergeCell ref="A7:L7"/>
    <mergeCell ref="A14:L14"/>
  </mergeCells>
  <conditionalFormatting sqref="A2:A3">
    <cfRule type="expression" dxfId="3" priority="5">
      <formula>#REF!&lt;&gt;""</formula>
    </cfRule>
  </conditionalFormatting>
  <conditionalFormatting sqref="A14:A16">
    <cfRule type="expression" dxfId="2" priority="4">
      <formula>#REF!&lt;&gt;""</formula>
    </cfRule>
  </conditionalFormatting>
  <conditionalFormatting sqref="A25">
    <cfRule type="expression" dxfId="1" priority="3">
      <formula>#REF!&lt;&gt;""</formula>
    </cfRule>
  </conditionalFormatting>
  <conditionalFormatting sqref="A33:A34">
    <cfRule type="expression" dxfId="0" priority="2">
      <formula>#REF!&lt;&gt;""</formula>
    </cfRule>
  </conditionalFormatting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5"/>
  <sheetViews>
    <sheetView tabSelected="1" zoomScaleNormal="100" workbookViewId="0">
      <selection sqref="A1:C1"/>
    </sheetView>
  </sheetViews>
  <sheetFormatPr baseColWidth="10" defaultColWidth="11.5" defaultRowHeight="15.75" customHeight="1" x14ac:dyDescent="0.2"/>
  <cols>
    <col min="1" max="1" width="36.5" customWidth="1"/>
    <col min="2" max="2" width="62" customWidth="1"/>
    <col min="3" max="3" width="64.83203125" hidden="1" customWidth="1"/>
    <col min="4" max="4" width="11.5" style="32" hidden="1"/>
    <col min="5" max="5" width="18.6640625" style="29" customWidth="1"/>
    <col min="6" max="6" width="22" style="29" customWidth="1"/>
    <col min="7" max="7" width="8.6640625" style="29" customWidth="1"/>
    <col min="8" max="8" width="10" style="33" customWidth="1"/>
    <col min="11" max="11" width="24.5" customWidth="1"/>
    <col min="12" max="12" width="48.6640625" customWidth="1"/>
  </cols>
  <sheetData>
    <row r="1" spans="1:14" ht="33.75" customHeight="1" x14ac:dyDescent="0.2">
      <c r="A1" s="3" t="s">
        <v>12</v>
      </c>
      <c r="B1" s="3"/>
      <c r="C1" s="3"/>
      <c r="D1" s="34" t="s">
        <v>94</v>
      </c>
      <c r="E1" s="35" t="s">
        <v>77</v>
      </c>
      <c r="F1" s="35" t="s">
        <v>78</v>
      </c>
      <c r="G1" s="35"/>
      <c r="H1" s="36"/>
      <c r="I1" s="37"/>
      <c r="J1" s="38"/>
      <c r="K1" s="37"/>
      <c r="L1" s="37"/>
      <c r="M1" s="37"/>
      <c r="N1" s="37"/>
    </row>
    <row r="2" spans="1:14" ht="15.75" customHeight="1" x14ac:dyDescent="0.2">
      <c r="A2" s="39" t="s">
        <v>57</v>
      </c>
      <c r="B2" s="40" t="s">
        <v>95</v>
      </c>
      <c r="C2" s="41" t="s">
        <v>58</v>
      </c>
      <c r="D2" s="42">
        <f>SUM(D3:D12)</f>
        <v>0.25</v>
      </c>
      <c r="E2" s="43"/>
      <c r="F2" s="43"/>
      <c r="G2" s="43" t="s">
        <v>96</v>
      </c>
      <c r="H2" s="44" t="s">
        <v>97</v>
      </c>
      <c r="I2" s="44"/>
    </row>
    <row r="3" spans="1:14" s="38" customFormat="1" ht="15.75" customHeight="1" x14ac:dyDescent="0.2">
      <c r="A3" s="2" t="s">
        <v>13</v>
      </c>
      <c r="B3" s="45" t="s">
        <v>59</v>
      </c>
      <c r="C3" s="45" t="s">
        <v>60</v>
      </c>
      <c r="D3" s="1">
        <v>0.1</v>
      </c>
      <c r="E3" s="46">
        <v>46063</v>
      </c>
      <c r="F3" s="46">
        <v>46106</v>
      </c>
      <c r="G3" s="29">
        <f>_xlfn.DAYS(E3,"1/1/26")</f>
        <v>40</v>
      </c>
      <c r="H3" s="29">
        <f t="shared" ref="H3:H12" si="0">_xlfn.DAYS(F3,E3)</f>
        <v>43</v>
      </c>
    </row>
    <row r="4" spans="1:14" s="38" customFormat="1" ht="15.75" customHeight="1" x14ac:dyDescent="0.2">
      <c r="A4" s="2"/>
      <c r="B4" s="45" t="s">
        <v>61</v>
      </c>
      <c r="C4" s="47"/>
      <c r="D4" s="1"/>
      <c r="E4" s="46">
        <v>46279</v>
      </c>
      <c r="F4" s="46">
        <v>46329</v>
      </c>
      <c r="G4" s="29">
        <f t="shared" ref="G4:G12" ca="1" si="1">_xlfn.DAYS(E4,TODAY())</f>
        <v>171</v>
      </c>
      <c r="H4" s="29">
        <f t="shared" si="0"/>
        <v>50</v>
      </c>
    </row>
    <row r="5" spans="1:14" s="38" customFormat="1" ht="48" customHeight="1" x14ac:dyDescent="0.2">
      <c r="A5" s="2"/>
      <c r="B5" s="48" t="s">
        <v>62</v>
      </c>
      <c r="C5" s="48" t="s">
        <v>63</v>
      </c>
      <c r="D5" s="1"/>
      <c r="E5" s="46">
        <v>46144</v>
      </c>
      <c r="F5" s="46">
        <v>46203</v>
      </c>
      <c r="G5" s="29">
        <f t="shared" ca="1" si="1"/>
        <v>36</v>
      </c>
      <c r="H5" s="29">
        <f t="shared" si="0"/>
        <v>59</v>
      </c>
    </row>
    <row r="6" spans="1:14" s="38" customFormat="1" ht="31.5" customHeight="1" x14ac:dyDescent="0.2">
      <c r="A6" s="92" t="s">
        <v>15</v>
      </c>
      <c r="B6" s="48" t="s">
        <v>64</v>
      </c>
      <c r="C6" s="49" t="s">
        <v>65</v>
      </c>
      <c r="D6" s="93">
        <v>0.06</v>
      </c>
      <c r="E6" s="46">
        <v>46069</v>
      </c>
      <c r="F6" s="46">
        <v>46094</v>
      </c>
      <c r="G6" s="29">
        <f t="shared" ca="1" si="1"/>
        <v>-39</v>
      </c>
      <c r="H6" s="29">
        <f t="shared" si="0"/>
        <v>25</v>
      </c>
      <c r="J6" s="25"/>
    </row>
    <row r="7" spans="1:14" s="38" customFormat="1" ht="31.5" customHeight="1" x14ac:dyDescent="0.2">
      <c r="A7" s="92"/>
      <c r="B7" s="50" t="s">
        <v>66</v>
      </c>
      <c r="C7" s="48" t="s">
        <v>67</v>
      </c>
      <c r="D7" s="93"/>
      <c r="E7" s="46">
        <v>46111</v>
      </c>
      <c r="F7" s="46">
        <v>46183</v>
      </c>
      <c r="G7" s="29">
        <f t="shared" ca="1" si="1"/>
        <v>3</v>
      </c>
      <c r="H7" s="29">
        <f t="shared" si="0"/>
        <v>72</v>
      </c>
      <c r="J7" s="25"/>
    </row>
    <row r="8" spans="1:14" s="38" customFormat="1" ht="15.75" customHeight="1" x14ac:dyDescent="0.2">
      <c r="A8" s="92"/>
      <c r="B8" s="50" t="s">
        <v>68</v>
      </c>
      <c r="C8" s="51"/>
      <c r="D8" s="93"/>
      <c r="E8" s="46">
        <v>46286</v>
      </c>
      <c r="F8" s="46">
        <v>46336</v>
      </c>
      <c r="G8" s="29">
        <f t="shared" ca="1" si="1"/>
        <v>178</v>
      </c>
      <c r="H8" s="29">
        <f t="shared" si="0"/>
        <v>50</v>
      </c>
      <c r="J8" s="25"/>
    </row>
    <row r="9" spans="1:14" s="38" customFormat="1" ht="31.5" customHeight="1" x14ac:dyDescent="0.2">
      <c r="A9" s="2" t="s">
        <v>20</v>
      </c>
      <c r="B9" s="52" t="s">
        <v>69</v>
      </c>
      <c r="C9" s="51" t="s">
        <v>70</v>
      </c>
      <c r="D9" s="93">
        <v>0.05</v>
      </c>
      <c r="E9" s="46">
        <v>46068</v>
      </c>
      <c r="F9" s="46">
        <v>46094</v>
      </c>
      <c r="G9" s="29">
        <f t="shared" ca="1" si="1"/>
        <v>-40</v>
      </c>
      <c r="H9" s="29">
        <f t="shared" si="0"/>
        <v>26</v>
      </c>
    </row>
    <row r="10" spans="1:14" s="38" customFormat="1" ht="15.75" customHeight="1" x14ac:dyDescent="0.2">
      <c r="A10" s="2"/>
      <c r="B10" s="52" t="s">
        <v>20</v>
      </c>
      <c r="C10" s="51"/>
      <c r="D10" s="93"/>
      <c r="E10" s="46">
        <v>46293</v>
      </c>
      <c r="F10" s="46">
        <v>46343</v>
      </c>
      <c r="G10" s="29">
        <f t="shared" ca="1" si="1"/>
        <v>185</v>
      </c>
      <c r="H10" s="29">
        <f t="shared" si="0"/>
        <v>50</v>
      </c>
    </row>
    <row r="11" spans="1:14" s="38" customFormat="1" ht="31.5" customHeight="1" x14ac:dyDescent="0.2">
      <c r="A11" s="52" t="s">
        <v>71</v>
      </c>
      <c r="B11" s="52" t="s">
        <v>72</v>
      </c>
      <c r="C11" s="48" t="s">
        <v>73</v>
      </c>
      <c r="D11" s="53">
        <v>0.02</v>
      </c>
      <c r="E11" s="46">
        <v>46069</v>
      </c>
      <c r="F11" s="46">
        <v>46112</v>
      </c>
      <c r="G11" s="29">
        <f t="shared" ca="1" si="1"/>
        <v>-39</v>
      </c>
      <c r="H11" s="29">
        <f t="shared" si="0"/>
        <v>43</v>
      </c>
    </row>
    <row r="12" spans="1:14" s="38" customFormat="1" ht="48" customHeight="1" x14ac:dyDescent="0.2">
      <c r="A12" s="52" t="s">
        <v>74</v>
      </c>
      <c r="B12" s="52" t="s">
        <v>75</v>
      </c>
      <c r="C12" s="48" t="s">
        <v>76</v>
      </c>
      <c r="D12" s="53">
        <v>0.02</v>
      </c>
      <c r="E12" s="46">
        <v>46090</v>
      </c>
      <c r="F12" s="46">
        <v>46157</v>
      </c>
      <c r="G12" s="29">
        <f t="shared" ca="1" si="1"/>
        <v>-18</v>
      </c>
      <c r="H12" s="29">
        <f t="shared" si="0"/>
        <v>67</v>
      </c>
    </row>
    <row r="14" spans="1:14" ht="33.75" customHeight="1" x14ac:dyDescent="0.2">
      <c r="A14" s="94" t="s">
        <v>26</v>
      </c>
      <c r="B14" s="94"/>
      <c r="C14" s="94"/>
      <c r="D14" s="54" t="s">
        <v>94</v>
      </c>
      <c r="E14" s="55" t="s">
        <v>77</v>
      </c>
      <c r="F14" s="55" t="s">
        <v>78</v>
      </c>
      <c r="G14" s="55"/>
      <c r="H14" s="56"/>
    </row>
    <row r="15" spans="1:14" ht="15.75" customHeight="1" x14ac:dyDescent="0.2">
      <c r="A15" s="39" t="s">
        <v>57</v>
      </c>
      <c r="B15" s="40" t="s">
        <v>98</v>
      </c>
      <c r="C15" s="41" t="s">
        <v>58</v>
      </c>
      <c r="D15" s="57">
        <f>SUM(D16:D24)</f>
        <v>0.25</v>
      </c>
    </row>
    <row r="16" spans="1:14" ht="35.25" customHeight="1" x14ac:dyDescent="0.2">
      <c r="A16" s="95" t="s">
        <v>79</v>
      </c>
      <c r="B16" s="96" t="s">
        <v>80</v>
      </c>
      <c r="C16" s="97" t="s">
        <v>81</v>
      </c>
      <c r="D16" s="93">
        <v>0.06</v>
      </c>
      <c r="E16" s="46">
        <v>46069</v>
      </c>
      <c r="F16" s="46">
        <v>46112</v>
      </c>
      <c r="G16" s="46"/>
    </row>
    <row r="17" spans="1:12" ht="33.75" customHeight="1" x14ac:dyDescent="0.2">
      <c r="A17" s="95"/>
      <c r="B17" s="96"/>
      <c r="C17" s="96"/>
      <c r="D17" s="93"/>
      <c r="E17" s="46">
        <v>46157</v>
      </c>
      <c r="F17" s="46">
        <v>46279</v>
      </c>
      <c r="G17" s="46"/>
    </row>
    <row r="18" spans="1:12" ht="48" customHeight="1" x14ac:dyDescent="0.2">
      <c r="A18" s="95"/>
      <c r="B18" s="58" t="s">
        <v>82</v>
      </c>
      <c r="C18" s="48" t="s">
        <v>83</v>
      </c>
      <c r="D18" s="93"/>
      <c r="E18" s="46">
        <v>46098</v>
      </c>
      <c r="F18" s="46">
        <v>46356</v>
      </c>
      <c r="G18" s="46"/>
    </row>
    <row r="19" spans="1:12" ht="18" customHeight="1" x14ac:dyDescent="0.2">
      <c r="A19" s="95" t="s">
        <v>84</v>
      </c>
      <c r="B19" s="96" t="s">
        <v>85</v>
      </c>
      <c r="C19" s="96" t="s">
        <v>86</v>
      </c>
      <c r="D19" s="93">
        <v>0.05</v>
      </c>
      <c r="E19" s="46">
        <v>46098</v>
      </c>
      <c r="F19" s="46">
        <v>46142</v>
      </c>
      <c r="G19" s="46"/>
    </row>
    <row r="20" spans="1:12" ht="18" customHeight="1" x14ac:dyDescent="0.2">
      <c r="A20" s="95"/>
      <c r="B20" s="95"/>
      <c r="C20" s="95"/>
      <c r="D20" s="93"/>
      <c r="E20" s="46">
        <v>46249</v>
      </c>
      <c r="F20" s="46">
        <v>46310</v>
      </c>
      <c r="G20" s="46"/>
    </row>
    <row r="21" spans="1:12" ht="31.5" customHeight="1" x14ac:dyDescent="0.2">
      <c r="A21" s="59" t="s">
        <v>87</v>
      </c>
      <c r="B21" s="48" t="s">
        <v>88</v>
      </c>
      <c r="C21" s="48"/>
      <c r="D21" s="53">
        <v>0.04</v>
      </c>
      <c r="E21" s="46">
        <v>46357</v>
      </c>
      <c r="F21" s="46">
        <v>46418</v>
      </c>
      <c r="G21" s="46"/>
    </row>
    <row r="22" spans="1:12" ht="15.75" customHeight="1" x14ac:dyDescent="0.2">
      <c r="A22" s="60" t="s">
        <v>89</v>
      </c>
      <c r="B22" s="45"/>
      <c r="C22" s="48"/>
      <c r="D22" s="53">
        <v>0.05</v>
      </c>
      <c r="E22" s="46">
        <v>46279</v>
      </c>
      <c r="F22" s="46">
        <v>46341</v>
      </c>
      <c r="G22" s="46"/>
    </row>
    <row r="23" spans="1:12" ht="48" customHeight="1" x14ac:dyDescent="0.2">
      <c r="A23" s="61" t="s">
        <v>90</v>
      </c>
      <c r="B23" s="52"/>
      <c r="C23" s="48" t="s">
        <v>91</v>
      </c>
      <c r="D23" s="53">
        <v>0.03</v>
      </c>
      <c r="E23" s="46">
        <v>46127</v>
      </c>
      <c r="F23" s="46">
        <v>46188</v>
      </c>
      <c r="G23" s="46"/>
    </row>
    <row r="24" spans="1:12" ht="15.75" customHeight="1" x14ac:dyDescent="0.2">
      <c r="A24" s="98" t="s">
        <v>34</v>
      </c>
      <c r="B24" s="62" t="s">
        <v>92</v>
      </c>
      <c r="C24" s="63" t="s">
        <v>93</v>
      </c>
      <c r="D24" s="93">
        <v>0.02</v>
      </c>
      <c r="E24" s="46">
        <v>46204</v>
      </c>
      <c r="F24" s="46">
        <v>46234</v>
      </c>
      <c r="G24" s="46"/>
    </row>
    <row r="25" spans="1:12" ht="15.75" customHeight="1" x14ac:dyDescent="0.2">
      <c r="A25" s="98"/>
      <c r="B25" s="62" t="s">
        <v>38</v>
      </c>
      <c r="C25" s="63"/>
      <c r="D25" s="93"/>
      <c r="E25" s="46">
        <v>46330</v>
      </c>
      <c r="F25" s="46">
        <v>46391</v>
      </c>
      <c r="G25" s="46"/>
    </row>
    <row r="26" spans="1:12" ht="15.75" customHeight="1" x14ac:dyDescent="0.2">
      <c r="A26" s="98"/>
      <c r="B26" s="64" t="s">
        <v>99</v>
      </c>
      <c r="C26" s="65"/>
      <c r="D26" s="93"/>
      <c r="E26" s="46">
        <v>46076</v>
      </c>
      <c r="F26" s="46">
        <v>46104</v>
      </c>
      <c r="G26" s="46"/>
    </row>
    <row r="27" spans="1:12" ht="27.75" customHeight="1" x14ac:dyDescent="0.2">
      <c r="A27" s="98"/>
      <c r="B27" s="64" t="s">
        <v>100</v>
      </c>
      <c r="C27" s="66" t="s">
        <v>101</v>
      </c>
      <c r="D27" s="93"/>
      <c r="E27" s="46">
        <v>46062</v>
      </c>
      <c r="F27" s="46">
        <v>46090</v>
      </c>
      <c r="G27" s="46"/>
    </row>
    <row r="28" spans="1:12" ht="15.75" customHeight="1" x14ac:dyDescent="0.2">
      <c r="A28" s="98"/>
      <c r="B28" s="64" t="s">
        <v>39</v>
      </c>
      <c r="C28" s="65"/>
      <c r="D28" s="93"/>
      <c r="E28" s="46">
        <v>46279</v>
      </c>
      <c r="F28" s="46">
        <v>46341</v>
      </c>
      <c r="G28" s="46"/>
    </row>
    <row r="31" spans="1:12" ht="33.75" customHeight="1" x14ac:dyDescent="0.2">
      <c r="A31" s="99" t="s">
        <v>40</v>
      </c>
      <c r="B31" s="99"/>
      <c r="C31" s="99"/>
      <c r="D31" s="67" t="s">
        <v>94</v>
      </c>
      <c r="E31" s="68" t="s">
        <v>77</v>
      </c>
      <c r="F31" s="68" t="s">
        <v>78</v>
      </c>
      <c r="G31" s="68"/>
      <c r="H31" s="69"/>
    </row>
    <row r="32" spans="1:12" ht="15.75" customHeight="1" x14ac:dyDescent="0.2">
      <c r="A32" s="39" t="s">
        <v>57</v>
      </c>
      <c r="B32" s="40" t="s">
        <v>98</v>
      </c>
      <c r="C32" s="41" t="s">
        <v>58</v>
      </c>
      <c r="D32" s="70">
        <f>SUM(D33:D40)</f>
        <v>0.25</v>
      </c>
      <c r="K32" s="71"/>
      <c r="L32" s="71"/>
    </row>
    <row r="33" spans="1:12" s="38" customFormat="1" ht="15.75" customHeight="1" x14ac:dyDescent="0.2">
      <c r="A33" s="72" t="s">
        <v>102</v>
      </c>
      <c r="B33" s="52"/>
      <c r="C33" s="52"/>
      <c r="D33" s="53">
        <v>0.08</v>
      </c>
      <c r="E33" s="46">
        <v>46144</v>
      </c>
      <c r="F33" s="46">
        <v>46326</v>
      </c>
      <c r="G33" s="46"/>
      <c r="H33" s="33"/>
      <c r="K33" s="73"/>
      <c r="L33" s="25"/>
    </row>
    <row r="34" spans="1:12" s="38" customFormat="1" ht="15.75" customHeight="1" x14ac:dyDescent="0.2">
      <c r="A34" s="72" t="s">
        <v>103</v>
      </c>
      <c r="B34" s="48" t="s">
        <v>104</v>
      </c>
      <c r="C34" s="52" t="s">
        <v>105</v>
      </c>
      <c r="D34" s="53">
        <v>0.06</v>
      </c>
      <c r="E34" s="46">
        <v>46069</v>
      </c>
      <c r="F34" s="46">
        <v>46128</v>
      </c>
      <c r="G34" s="46"/>
      <c r="H34" s="33"/>
      <c r="K34" s="73"/>
      <c r="L34" s="25"/>
    </row>
    <row r="35" spans="1:12" s="38" customFormat="1" ht="26.25" customHeight="1" x14ac:dyDescent="0.2">
      <c r="A35" s="100" t="s">
        <v>44</v>
      </c>
      <c r="B35" s="101"/>
      <c r="C35" s="101"/>
      <c r="D35" s="93">
        <v>0.06</v>
      </c>
      <c r="E35" s="46">
        <v>46174</v>
      </c>
      <c r="F35" s="46">
        <v>46265</v>
      </c>
      <c r="G35" s="46"/>
      <c r="H35" s="33"/>
      <c r="K35" s="73"/>
      <c r="L35" s="25"/>
    </row>
    <row r="36" spans="1:12" s="38" customFormat="1" ht="23.25" customHeight="1" x14ac:dyDescent="0.2">
      <c r="A36" s="100"/>
      <c r="B36" s="100"/>
      <c r="C36" s="100"/>
      <c r="D36" s="93"/>
      <c r="E36" s="46">
        <v>46307</v>
      </c>
      <c r="F36" s="46">
        <v>46346</v>
      </c>
      <c r="G36" s="46"/>
      <c r="H36" s="33"/>
      <c r="K36" s="73"/>
      <c r="L36" s="25"/>
    </row>
    <row r="37" spans="1:12" s="38" customFormat="1" ht="15.75" customHeight="1" x14ac:dyDescent="0.2">
      <c r="A37" s="102" t="s">
        <v>106</v>
      </c>
      <c r="B37" s="101"/>
      <c r="C37" s="98" t="s">
        <v>107</v>
      </c>
      <c r="D37" s="93">
        <v>0.04</v>
      </c>
      <c r="E37" s="46">
        <v>46174</v>
      </c>
      <c r="F37" s="46">
        <v>46203</v>
      </c>
      <c r="G37" s="46"/>
      <c r="H37" s="33"/>
    </row>
    <row r="38" spans="1:12" ht="15.75" customHeight="1" x14ac:dyDescent="0.2">
      <c r="A38" s="102"/>
      <c r="B38" s="102"/>
      <c r="C38" s="102"/>
      <c r="D38" s="93"/>
      <c r="E38" s="46">
        <v>46266</v>
      </c>
      <c r="F38" s="46">
        <v>46325</v>
      </c>
      <c r="G38" s="46"/>
    </row>
    <row r="39" spans="1:12" s="38" customFormat="1" ht="20.25" customHeight="1" x14ac:dyDescent="0.2">
      <c r="A39" s="97" t="s">
        <v>108</v>
      </c>
      <c r="B39" s="101"/>
      <c r="C39" s="101"/>
      <c r="D39" s="93">
        <v>0.01</v>
      </c>
      <c r="E39" s="46">
        <v>46153</v>
      </c>
      <c r="F39" s="46">
        <v>46234</v>
      </c>
      <c r="G39" s="46"/>
      <c r="H39" s="33"/>
      <c r="K39" s="73"/>
      <c r="L39" s="25"/>
    </row>
    <row r="40" spans="1:12" s="38" customFormat="1" ht="19.5" customHeight="1" x14ac:dyDescent="0.2">
      <c r="A40" s="97"/>
      <c r="B40" s="97"/>
      <c r="C40" s="97"/>
      <c r="D40" s="93"/>
      <c r="E40" s="46">
        <v>46266</v>
      </c>
      <c r="F40" s="46">
        <v>46325</v>
      </c>
      <c r="G40" s="46"/>
      <c r="H40" s="33"/>
      <c r="K40" s="73"/>
      <c r="L40" s="25"/>
    </row>
    <row r="42" spans="1:12" ht="34.5" customHeight="1" x14ac:dyDescent="0.2">
      <c r="A42" s="103" t="s">
        <v>109</v>
      </c>
      <c r="B42" s="103"/>
      <c r="C42" s="103"/>
      <c r="D42" s="74" t="s">
        <v>94</v>
      </c>
      <c r="E42" s="75" t="s">
        <v>77</v>
      </c>
      <c r="F42" s="75" t="s">
        <v>78</v>
      </c>
      <c r="G42" s="75"/>
      <c r="H42" s="76"/>
    </row>
    <row r="43" spans="1:12" ht="15.75" customHeight="1" x14ac:dyDescent="0.2">
      <c r="A43" s="39" t="s">
        <v>57</v>
      </c>
      <c r="B43" s="40" t="s">
        <v>98</v>
      </c>
      <c r="C43" s="41" t="s">
        <v>58</v>
      </c>
      <c r="D43" s="77">
        <f>SUM(D44:D54)</f>
        <v>0.25000000000000006</v>
      </c>
    </row>
    <row r="44" spans="1:12" ht="17.25" customHeight="1" x14ac:dyDescent="0.2">
      <c r="A44" s="104" t="s">
        <v>110</v>
      </c>
      <c r="B44" s="97" t="s">
        <v>111</v>
      </c>
      <c r="C44" s="98" t="s">
        <v>112</v>
      </c>
      <c r="D44" s="1">
        <v>7.0000000000000007E-2</v>
      </c>
      <c r="E44" s="46">
        <v>46069</v>
      </c>
      <c r="F44" s="46">
        <v>46112</v>
      </c>
      <c r="G44" s="46"/>
    </row>
    <row r="45" spans="1:12" ht="15.75" customHeight="1" x14ac:dyDescent="0.2">
      <c r="A45" s="104"/>
      <c r="B45" s="104"/>
      <c r="C45" s="104"/>
      <c r="D45" s="1"/>
      <c r="E45" s="46">
        <v>46235</v>
      </c>
      <c r="F45" s="46">
        <v>46295</v>
      </c>
      <c r="G45" s="46"/>
    </row>
    <row r="46" spans="1:12" ht="17.25" customHeight="1" x14ac:dyDescent="0.2">
      <c r="A46" s="104" t="s">
        <v>113</v>
      </c>
      <c r="B46" s="97" t="s">
        <v>114</v>
      </c>
      <c r="C46" s="97" t="s">
        <v>115</v>
      </c>
      <c r="D46" s="93">
        <v>7.0000000000000007E-2</v>
      </c>
      <c r="E46" s="46">
        <v>46143</v>
      </c>
      <c r="F46" s="46">
        <v>46203</v>
      </c>
      <c r="G46" s="46"/>
    </row>
    <row r="47" spans="1:12" ht="15.75" customHeight="1" x14ac:dyDescent="0.2">
      <c r="A47" s="104"/>
      <c r="B47" s="104"/>
      <c r="C47" s="104"/>
      <c r="D47" s="93"/>
      <c r="E47" s="46">
        <v>46266</v>
      </c>
      <c r="F47" s="46">
        <v>46326</v>
      </c>
      <c r="G47" s="46"/>
    </row>
    <row r="48" spans="1:12" ht="15.75" customHeight="1" x14ac:dyDescent="0.2">
      <c r="A48" s="104" t="s">
        <v>116</v>
      </c>
      <c r="B48" s="97" t="s">
        <v>117</v>
      </c>
      <c r="C48" s="98" t="s">
        <v>118</v>
      </c>
      <c r="D48" s="93">
        <v>7.0000000000000007E-2</v>
      </c>
      <c r="E48" s="46">
        <v>46062</v>
      </c>
      <c r="F48" s="46">
        <v>46081</v>
      </c>
      <c r="G48" s="46"/>
    </row>
    <row r="49" spans="1:7" ht="15.75" customHeight="1" x14ac:dyDescent="0.2">
      <c r="A49" s="104"/>
      <c r="B49" s="104"/>
      <c r="C49" s="104"/>
      <c r="D49" s="93"/>
      <c r="E49" s="46">
        <v>46204</v>
      </c>
      <c r="F49" s="46">
        <v>46234</v>
      </c>
      <c r="G49" s="46"/>
    </row>
    <row r="50" spans="1:7" ht="15.75" customHeight="1" x14ac:dyDescent="0.2">
      <c r="A50" s="97" t="s">
        <v>51</v>
      </c>
      <c r="B50" s="105"/>
      <c r="C50" s="105"/>
      <c r="D50" s="93">
        <v>0.01</v>
      </c>
      <c r="E50" s="46">
        <v>46132</v>
      </c>
      <c r="F50" s="46">
        <v>46193</v>
      </c>
      <c r="G50" s="46"/>
    </row>
    <row r="51" spans="1:7" ht="15.75" customHeight="1" x14ac:dyDescent="0.2">
      <c r="A51" s="97"/>
      <c r="B51" s="97"/>
      <c r="C51" s="97"/>
      <c r="D51" s="93"/>
      <c r="E51" s="46">
        <v>46266</v>
      </c>
      <c r="F51" s="46">
        <v>46326</v>
      </c>
      <c r="G51" s="46"/>
    </row>
    <row r="52" spans="1:7" ht="15.75" customHeight="1" x14ac:dyDescent="0.2">
      <c r="A52" s="78" t="s">
        <v>119</v>
      </c>
      <c r="B52" s="65"/>
      <c r="C52" s="65" t="s">
        <v>120</v>
      </c>
      <c r="D52" s="53">
        <v>0.01</v>
      </c>
      <c r="E52" s="46">
        <v>46082</v>
      </c>
      <c r="F52" s="46">
        <v>46112</v>
      </c>
      <c r="G52" s="46"/>
    </row>
    <row r="53" spans="1:7" ht="15.75" customHeight="1" x14ac:dyDescent="0.2">
      <c r="A53" s="65" t="s">
        <v>121</v>
      </c>
      <c r="B53" s="65" t="s">
        <v>122</v>
      </c>
      <c r="C53" s="65" t="s">
        <v>123</v>
      </c>
      <c r="D53" s="53">
        <v>0.01</v>
      </c>
      <c r="E53" s="46">
        <v>46099</v>
      </c>
      <c r="F53" s="46">
        <v>46142</v>
      </c>
      <c r="G53" s="46"/>
    </row>
    <row r="54" spans="1:7" ht="15.75" customHeight="1" x14ac:dyDescent="0.2">
      <c r="A54" s="65" t="s">
        <v>124</v>
      </c>
      <c r="B54" s="65" t="s">
        <v>122</v>
      </c>
      <c r="C54" s="65" t="s">
        <v>125</v>
      </c>
      <c r="D54" s="53">
        <v>0.01</v>
      </c>
      <c r="E54" s="46">
        <v>46310</v>
      </c>
      <c r="F54" s="46">
        <v>46341</v>
      </c>
      <c r="G54" s="46"/>
    </row>
    <row r="55" spans="1:7" ht="15.75" customHeight="1" x14ac:dyDescent="0.2">
      <c r="D55" s="79">
        <f>SUM(D43+D32+D15+D2)</f>
        <v>1</v>
      </c>
    </row>
  </sheetData>
  <mergeCells count="48">
    <mergeCell ref="A50:A51"/>
    <mergeCell ref="B50:B51"/>
    <mergeCell ref="C50:C51"/>
    <mergeCell ref="D50:D51"/>
    <mergeCell ref="A46:A47"/>
    <mergeCell ref="B46:B47"/>
    <mergeCell ref="C46:C47"/>
    <mergeCell ref="D46:D47"/>
    <mergeCell ref="A48:A49"/>
    <mergeCell ref="B48:B49"/>
    <mergeCell ref="C48:C49"/>
    <mergeCell ref="D48:D49"/>
    <mergeCell ref="A42:C42"/>
    <mergeCell ref="A44:A45"/>
    <mergeCell ref="B44:B45"/>
    <mergeCell ref="C44:C45"/>
    <mergeCell ref="D44:D45"/>
    <mergeCell ref="A37:A38"/>
    <mergeCell ref="B37:B38"/>
    <mergeCell ref="C37:C38"/>
    <mergeCell ref="D37:D38"/>
    <mergeCell ref="A39:A40"/>
    <mergeCell ref="B39:B40"/>
    <mergeCell ref="C39:C40"/>
    <mergeCell ref="D39:D40"/>
    <mergeCell ref="A31:C31"/>
    <mergeCell ref="A35:A36"/>
    <mergeCell ref="B35:B36"/>
    <mergeCell ref="C35:C36"/>
    <mergeCell ref="D35:D36"/>
    <mergeCell ref="A19:A20"/>
    <mergeCell ref="B19:B20"/>
    <mergeCell ref="C19:C20"/>
    <mergeCell ref="D19:D20"/>
    <mergeCell ref="A24:A28"/>
    <mergeCell ref="D24:D28"/>
    <mergeCell ref="A9:A10"/>
    <mergeCell ref="D9:D10"/>
    <mergeCell ref="A14:C14"/>
    <mergeCell ref="A16:A18"/>
    <mergeCell ref="B16:B17"/>
    <mergeCell ref="C16:C17"/>
    <mergeCell ref="D16:D18"/>
    <mergeCell ref="A1:C1"/>
    <mergeCell ref="A3:A5"/>
    <mergeCell ref="D3:D5"/>
    <mergeCell ref="A6:A8"/>
    <mergeCell ref="D6:D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topLeftCell="A14" zoomScale="111" zoomScaleNormal="111" workbookViewId="0">
      <selection activeCell="B3" sqref="B3"/>
    </sheetView>
  </sheetViews>
  <sheetFormatPr baseColWidth="10" defaultColWidth="8.83203125" defaultRowHeight="15.75" customHeight="1" x14ac:dyDescent="0.2"/>
  <cols>
    <col min="1" max="1" width="16.6640625" style="80" customWidth="1"/>
    <col min="2" max="2" width="60.5" style="81" customWidth="1"/>
    <col min="3" max="3" width="14.6640625" style="82" customWidth="1"/>
    <col min="4" max="4" width="61.33203125" style="82" customWidth="1"/>
    <col min="5" max="16384" width="8.83203125" style="82"/>
  </cols>
  <sheetData>
    <row r="1" spans="1:4" ht="18.75" customHeight="1" x14ac:dyDescent="0.25">
      <c r="A1" s="83" t="s">
        <v>126</v>
      </c>
    </row>
    <row r="2" spans="1:4" ht="16.5" customHeight="1" x14ac:dyDescent="0.2">
      <c r="A2" s="84" t="s">
        <v>127</v>
      </c>
      <c r="B2" s="81" t="s">
        <v>128</v>
      </c>
    </row>
    <row r="3" spans="1:4" ht="33.75" customHeight="1" x14ac:dyDescent="0.2">
      <c r="A3" s="84" t="s">
        <v>129</v>
      </c>
      <c r="B3" s="81" t="s">
        <v>130</v>
      </c>
    </row>
    <row r="4" spans="1:4" ht="16.5" customHeight="1" x14ac:dyDescent="0.2">
      <c r="A4" s="84" t="s">
        <v>131</v>
      </c>
      <c r="B4" s="81" t="s">
        <v>132</v>
      </c>
    </row>
    <row r="6" spans="1:4" ht="18.75" customHeight="1" x14ac:dyDescent="0.25">
      <c r="A6" s="83" t="s">
        <v>133</v>
      </c>
    </row>
    <row r="7" spans="1:4" ht="93" customHeight="1" x14ac:dyDescent="0.2">
      <c r="A7" s="106" t="s">
        <v>134</v>
      </c>
      <c r="B7" s="106"/>
    </row>
    <row r="8" spans="1:4" ht="15.75" customHeight="1" x14ac:dyDescent="0.2">
      <c r="A8" s="80" t="s">
        <v>135</v>
      </c>
    </row>
    <row r="9" spans="1:4" ht="33.75" customHeight="1" x14ac:dyDescent="0.2">
      <c r="B9" s="85" t="s">
        <v>136</v>
      </c>
    </row>
    <row r="10" spans="1:4" ht="51" customHeight="1" x14ac:dyDescent="0.2">
      <c r="B10" s="81" t="s">
        <v>137</v>
      </c>
    </row>
    <row r="11" spans="1:4" ht="33.75" customHeight="1" x14ac:dyDescent="0.2">
      <c r="B11" s="85" t="s">
        <v>138</v>
      </c>
    </row>
    <row r="13" spans="1:4" ht="18.75" customHeight="1" x14ac:dyDescent="0.25">
      <c r="A13" s="83" t="s">
        <v>139</v>
      </c>
    </row>
    <row r="14" spans="1:4" s="88" customFormat="1" ht="67.5" customHeight="1" x14ac:dyDescent="0.2">
      <c r="A14" s="86" t="s">
        <v>140</v>
      </c>
      <c r="B14" s="87" t="s">
        <v>141</v>
      </c>
    </row>
    <row r="15" spans="1:4" s="88" customFormat="1" ht="57.75" customHeight="1" x14ac:dyDescent="0.2">
      <c r="A15" s="86" t="s">
        <v>142</v>
      </c>
      <c r="B15" s="87" t="s">
        <v>143</v>
      </c>
    </row>
    <row r="16" spans="1:4" s="88" customFormat="1" ht="132" customHeight="1" x14ac:dyDescent="0.2">
      <c r="A16" s="86" t="s">
        <v>144</v>
      </c>
      <c r="B16" s="87" t="s">
        <v>145</v>
      </c>
      <c r="C16" s="86" t="s">
        <v>146</v>
      </c>
      <c r="D16" s="87" t="s">
        <v>147</v>
      </c>
    </row>
    <row r="18" spans="1:2" ht="18.75" customHeight="1" x14ac:dyDescent="0.25">
      <c r="A18" s="83" t="s">
        <v>148</v>
      </c>
    </row>
    <row r="19" spans="1:2" ht="135.75" customHeight="1" x14ac:dyDescent="0.2">
      <c r="B19" s="81" t="s">
        <v>149</v>
      </c>
    </row>
  </sheetData>
  <mergeCells count="1">
    <mergeCell ref="A7:B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4"/>
  <sheetViews>
    <sheetView topLeftCell="B1" zoomScaleNormal="100" workbookViewId="0">
      <selection activeCell="E10" sqref="E10"/>
    </sheetView>
  </sheetViews>
  <sheetFormatPr baseColWidth="10" defaultColWidth="11.5" defaultRowHeight="15" customHeight="1" x14ac:dyDescent="0.2"/>
  <cols>
    <col min="2" max="2" width="47.83203125" style="15" customWidth="1"/>
    <col min="5" max="5" width="37.5" customWidth="1"/>
  </cols>
  <sheetData>
    <row r="1" spans="1:6" ht="15.75" customHeight="1" x14ac:dyDescent="0.2">
      <c r="A1" s="89" t="s">
        <v>150</v>
      </c>
      <c r="B1" s="90" t="s">
        <v>151</v>
      </c>
    </row>
    <row r="2" spans="1:6" ht="15.75" customHeight="1" x14ac:dyDescent="0.2">
      <c r="B2" s="15" t="s">
        <v>152</v>
      </c>
      <c r="D2" s="91" t="s">
        <v>153</v>
      </c>
      <c r="E2" t="s">
        <v>154</v>
      </c>
    </row>
    <row r="3" spans="1:6" ht="15.75" customHeight="1" x14ac:dyDescent="0.2">
      <c r="B3" s="15" t="s">
        <v>155</v>
      </c>
      <c r="D3" s="91" t="s">
        <v>156</v>
      </c>
      <c r="E3" t="s">
        <v>157</v>
      </c>
    </row>
    <row r="4" spans="1:6" ht="15.75" customHeight="1" x14ac:dyDescent="0.2">
      <c r="B4" s="15" t="s">
        <v>158</v>
      </c>
      <c r="D4" s="91" t="s">
        <v>159</v>
      </c>
      <c r="E4" t="s">
        <v>160</v>
      </c>
    </row>
    <row r="5" spans="1:6" ht="15" customHeight="1" x14ac:dyDescent="0.2">
      <c r="D5" s="91" t="s">
        <v>161</v>
      </c>
      <c r="E5" t="s">
        <v>162</v>
      </c>
    </row>
    <row r="6" spans="1:6" ht="15.75" customHeight="1" x14ac:dyDescent="0.2">
      <c r="A6" s="89" t="s">
        <v>163</v>
      </c>
      <c r="B6" s="90" t="s">
        <v>164</v>
      </c>
      <c r="D6" s="91" t="s">
        <v>165</v>
      </c>
      <c r="E6" t="s">
        <v>166</v>
      </c>
    </row>
    <row r="7" spans="1:6" ht="15.75" customHeight="1" x14ac:dyDescent="0.2">
      <c r="B7" s="15" t="s">
        <v>167</v>
      </c>
      <c r="D7" s="91" t="s">
        <v>168</v>
      </c>
      <c r="E7" t="s">
        <v>169</v>
      </c>
    </row>
    <row r="8" spans="1:6" ht="15.75" customHeight="1" x14ac:dyDescent="0.2">
      <c r="B8" s="15" t="s">
        <v>170</v>
      </c>
      <c r="D8" s="91" t="s">
        <v>171</v>
      </c>
      <c r="E8" t="s">
        <v>172</v>
      </c>
    </row>
    <row r="9" spans="1:6" ht="15.75" customHeight="1" x14ac:dyDescent="0.2">
      <c r="B9" s="15" t="s">
        <v>173</v>
      </c>
      <c r="D9" s="91" t="s">
        <v>174</v>
      </c>
      <c r="E9" t="s">
        <v>175</v>
      </c>
      <c r="F9" t="s">
        <v>176</v>
      </c>
    </row>
    <row r="10" spans="1:6" ht="15.75" customHeight="1" x14ac:dyDescent="0.2">
      <c r="B10" s="15" t="s">
        <v>177</v>
      </c>
      <c r="D10" s="91" t="s">
        <v>178</v>
      </c>
      <c r="E10" t="s">
        <v>179</v>
      </c>
    </row>
    <row r="11" spans="1:6" ht="15.75" customHeight="1" x14ac:dyDescent="0.2">
      <c r="B11" s="15" t="s">
        <v>180</v>
      </c>
      <c r="D11" s="91" t="s">
        <v>181</v>
      </c>
      <c r="E11" t="s">
        <v>182</v>
      </c>
      <c r="F11" t="s">
        <v>183</v>
      </c>
    </row>
    <row r="12" spans="1:6" ht="15" customHeight="1" x14ac:dyDescent="0.2">
      <c r="D12" s="91" t="s">
        <v>184</v>
      </c>
      <c r="E12" t="s">
        <v>185</v>
      </c>
    </row>
    <row r="13" spans="1:6" ht="15.75" customHeight="1" x14ac:dyDescent="0.2">
      <c r="A13" s="89" t="s">
        <v>159</v>
      </c>
      <c r="B13" s="90" t="s">
        <v>186</v>
      </c>
      <c r="D13" s="91" t="s">
        <v>187</v>
      </c>
      <c r="E13" t="s">
        <v>188</v>
      </c>
    </row>
    <row r="14" spans="1:6" ht="31.5" customHeight="1" x14ac:dyDescent="0.2">
      <c r="B14" s="15" t="s">
        <v>189</v>
      </c>
      <c r="D14" s="91" t="s">
        <v>190</v>
      </c>
      <c r="E14" s="38" t="s">
        <v>191</v>
      </c>
      <c r="F14" s="38" t="s">
        <v>192</v>
      </c>
    </row>
    <row r="15" spans="1:6" ht="31.5" customHeight="1" x14ac:dyDescent="0.2">
      <c r="B15" s="15" t="s">
        <v>193</v>
      </c>
      <c r="D15" s="91" t="s">
        <v>194</v>
      </c>
      <c r="E15" t="s">
        <v>195</v>
      </c>
    </row>
    <row r="16" spans="1:6" ht="15" customHeight="1" x14ac:dyDescent="0.2">
      <c r="D16" s="91" t="s">
        <v>196</v>
      </c>
      <c r="E16" t="s">
        <v>197</v>
      </c>
    </row>
    <row r="17" spans="1:6" ht="15.75" customHeight="1" x14ac:dyDescent="0.2">
      <c r="A17" s="89" t="s">
        <v>161</v>
      </c>
      <c r="B17" s="90" t="s">
        <v>198</v>
      </c>
      <c r="D17" s="91" t="s">
        <v>199</v>
      </c>
      <c r="E17" t="s">
        <v>200</v>
      </c>
      <c r="F17" t="s">
        <v>201</v>
      </c>
    </row>
    <row r="18" spans="1:6" ht="15.75" customHeight="1" x14ac:dyDescent="0.2">
      <c r="B18" s="15" t="s">
        <v>202</v>
      </c>
      <c r="D18" s="91" t="s">
        <v>203</v>
      </c>
      <c r="E18" t="s">
        <v>204</v>
      </c>
      <c r="F18" t="s">
        <v>205</v>
      </c>
    </row>
    <row r="19" spans="1:6" ht="15.75" customHeight="1" x14ac:dyDescent="0.2">
      <c r="B19" s="15" t="s">
        <v>206</v>
      </c>
      <c r="D19" s="91" t="s">
        <v>207</v>
      </c>
      <c r="E19" t="s">
        <v>208</v>
      </c>
    </row>
    <row r="20" spans="1:6" ht="15.75" customHeight="1" x14ac:dyDescent="0.2">
      <c r="B20" s="15" t="s">
        <v>209</v>
      </c>
      <c r="D20" s="91" t="s">
        <v>210</v>
      </c>
      <c r="E20" t="s">
        <v>211</v>
      </c>
    </row>
    <row r="21" spans="1:6" ht="15" customHeight="1" x14ac:dyDescent="0.2">
      <c r="D21" s="91" t="s">
        <v>212</v>
      </c>
      <c r="E21" t="s">
        <v>213</v>
      </c>
    </row>
    <row r="22" spans="1:6" ht="15.75" customHeight="1" x14ac:dyDescent="0.2">
      <c r="A22" s="89" t="s">
        <v>165</v>
      </c>
      <c r="B22" s="90" t="s">
        <v>214</v>
      </c>
      <c r="D22" s="91" t="s">
        <v>215</v>
      </c>
      <c r="E22" t="s">
        <v>216</v>
      </c>
      <c r="F22" t="s">
        <v>217</v>
      </c>
    </row>
    <row r="23" spans="1:6" ht="15.75" customHeight="1" x14ac:dyDescent="0.2">
      <c r="B23" s="15" t="s">
        <v>218</v>
      </c>
      <c r="D23" s="91" t="s">
        <v>219</v>
      </c>
    </row>
    <row r="24" spans="1:6" ht="15.75" customHeight="1" x14ac:dyDescent="0.2">
      <c r="B24" s="15" t="s">
        <v>220</v>
      </c>
      <c r="D24" s="91" t="s">
        <v>221</v>
      </c>
    </row>
    <row r="25" spans="1:6" ht="15.75" customHeight="1" x14ac:dyDescent="0.2">
      <c r="B25" s="15" t="s">
        <v>222</v>
      </c>
      <c r="D25" s="91" t="s">
        <v>223</v>
      </c>
    </row>
    <row r="26" spans="1:6" ht="15" customHeight="1" x14ac:dyDescent="0.2">
      <c r="D26" s="91" t="s">
        <v>224</v>
      </c>
    </row>
    <row r="27" spans="1:6" ht="15.75" customHeight="1" x14ac:dyDescent="0.2">
      <c r="A27" s="89" t="s">
        <v>168</v>
      </c>
      <c r="B27" s="90" t="s">
        <v>225</v>
      </c>
      <c r="D27" t="s">
        <v>226</v>
      </c>
    </row>
    <row r="28" spans="1:6" ht="15.75" customHeight="1" x14ac:dyDescent="0.2">
      <c r="B28" s="15" t="s">
        <v>227</v>
      </c>
    </row>
    <row r="29" spans="1:6" ht="15.75" customHeight="1" x14ac:dyDescent="0.2">
      <c r="B29" s="15" t="s">
        <v>228</v>
      </c>
    </row>
    <row r="31" spans="1:6" ht="15.75" customHeight="1" x14ac:dyDescent="0.2">
      <c r="A31" s="89" t="s">
        <v>171</v>
      </c>
      <c r="B31" s="90" t="s">
        <v>229</v>
      </c>
    </row>
    <row r="32" spans="1:6" ht="15.75" customHeight="1" x14ac:dyDescent="0.2">
      <c r="B32" s="15" t="s">
        <v>230</v>
      </c>
    </row>
    <row r="34" spans="1:2" ht="15.75" customHeight="1" x14ac:dyDescent="0.2">
      <c r="A34" s="89" t="s">
        <v>174</v>
      </c>
      <c r="B34" s="90" t="s">
        <v>231</v>
      </c>
    </row>
    <row r="35" spans="1:2" ht="15.75" customHeight="1" x14ac:dyDescent="0.2">
      <c r="B35" s="15" t="s">
        <v>232</v>
      </c>
    </row>
    <row r="36" spans="1:2" ht="15.75" customHeight="1" x14ac:dyDescent="0.2">
      <c r="B36" s="15" t="s">
        <v>233</v>
      </c>
    </row>
    <row r="37" spans="1:2" ht="15.75" customHeight="1" x14ac:dyDescent="0.2">
      <c r="B37" s="15" t="s">
        <v>234</v>
      </c>
    </row>
    <row r="38" spans="1:2" ht="15.75" customHeight="1" x14ac:dyDescent="0.2">
      <c r="B38" s="15" t="s">
        <v>235</v>
      </c>
    </row>
    <row r="39" spans="1:2" ht="15.75" customHeight="1" x14ac:dyDescent="0.2">
      <c r="B39" s="15" t="s">
        <v>236</v>
      </c>
    </row>
    <row r="40" spans="1:2" ht="15.75" customHeight="1" x14ac:dyDescent="0.2">
      <c r="B40" s="15" t="s">
        <v>237</v>
      </c>
    </row>
    <row r="42" spans="1:2" ht="15.75" customHeight="1" x14ac:dyDescent="0.2">
      <c r="A42" s="89" t="s">
        <v>178</v>
      </c>
      <c r="B42" s="90" t="s">
        <v>238</v>
      </c>
    </row>
    <row r="43" spans="1:2" ht="63.75" customHeight="1" x14ac:dyDescent="0.2">
      <c r="B43" s="15" t="s">
        <v>239</v>
      </c>
    </row>
    <row r="44" spans="1:2" ht="15.75" customHeight="1" x14ac:dyDescent="0.2">
      <c r="B44" s="15" t="s">
        <v>240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6"/>
  <sheetViews>
    <sheetView topLeftCell="A10" zoomScaleNormal="100" workbookViewId="0">
      <selection activeCell="A29" sqref="A29"/>
    </sheetView>
  </sheetViews>
  <sheetFormatPr baseColWidth="10" defaultColWidth="10.83203125" defaultRowHeight="15" customHeight="1" x14ac:dyDescent="0.2"/>
  <sheetData>
    <row r="1" spans="1:1" ht="15" customHeight="1" x14ac:dyDescent="0.2">
      <c r="A1" s="71" t="s">
        <v>241</v>
      </c>
    </row>
    <row r="2" spans="1:1" ht="15" customHeight="1" x14ac:dyDescent="0.2">
      <c r="A2" t="s">
        <v>242</v>
      </c>
    </row>
    <row r="3" spans="1:1" ht="15" customHeight="1" x14ac:dyDescent="0.2">
      <c r="A3" t="s">
        <v>243</v>
      </c>
    </row>
    <row r="4" spans="1:1" ht="15" customHeight="1" x14ac:dyDescent="0.2">
      <c r="A4" t="s">
        <v>244</v>
      </c>
    </row>
    <row r="5" spans="1:1" ht="15" customHeight="1" x14ac:dyDescent="0.2">
      <c r="A5" t="s">
        <v>245</v>
      </c>
    </row>
    <row r="6" spans="1:1" ht="15" customHeight="1" x14ac:dyDescent="0.2">
      <c r="A6" t="s">
        <v>246</v>
      </c>
    </row>
    <row r="7" spans="1:1" ht="15" customHeight="1" x14ac:dyDescent="0.2">
      <c r="A7" t="s">
        <v>247</v>
      </c>
    </row>
    <row r="8" spans="1:1" ht="15" customHeight="1" x14ac:dyDescent="0.2">
      <c r="A8" t="s">
        <v>248</v>
      </c>
    </row>
    <row r="9" spans="1:1" ht="15" customHeight="1" x14ac:dyDescent="0.2">
      <c r="A9" t="s">
        <v>249</v>
      </c>
    </row>
    <row r="11" spans="1:1" ht="15" customHeight="1" x14ac:dyDescent="0.2">
      <c r="A11" s="71" t="s">
        <v>250</v>
      </c>
    </row>
    <row r="12" spans="1:1" ht="15" customHeight="1" x14ac:dyDescent="0.2">
      <c r="A12" t="s">
        <v>251</v>
      </c>
    </row>
    <row r="13" spans="1:1" ht="15" customHeight="1" x14ac:dyDescent="0.2">
      <c r="A13" t="s">
        <v>252</v>
      </c>
    </row>
    <row r="14" spans="1:1" ht="15" customHeight="1" x14ac:dyDescent="0.2">
      <c r="A14" t="s">
        <v>253</v>
      </c>
    </row>
    <row r="16" spans="1:1" ht="15" customHeight="1" x14ac:dyDescent="0.2">
      <c r="A16" s="71" t="s">
        <v>254</v>
      </c>
    </row>
    <row r="18" spans="1:1" ht="15" customHeight="1" x14ac:dyDescent="0.2">
      <c r="A18" s="71" t="s">
        <v>255</v>
      </c>
    </row>
    <row r="19" spans="1:1" ht="15" customHeight="1" x14ac:dyDescent="0.2">
      <c r="A19" t="s">
        <v>256</v>
      </c>
    </row>
    <row r="20" spans="1:1" ht="15" customHeight="1" x14ac:dyDescent="0.2">
      <c r="A20" s="71" t="s">
        <v>257</v>
      </c>
    </row>
    <row r="21" spans="1:1" ht="15" customHeight="1" x14ac:dyDescent="0.2">
      <c r="A21" t="s">
        <v>258</v>
      </c>
    </row>
    <row r="22" spans="1:1" ht="15" customHeight="1" x14ac:dyDescent="0.2">
      <c r="A22" t="s">
        <v>259</v>
      </c>
    </row>
    <row r="23" spans="1:1" ht="15" customHeight="1" x14ac:dyDescent="0.2">
      <c r="A23" t="s">
        <v>260</v>
      </c>
    </row>
    <row r="24" spans="1:1" ht="15" customHeight="1" x14ac:dyDescent="0.2">
      <c r="A24" t="s">
        <v>261</v>
      </c>
    </row>
    <row r="25" spans="1:1" ht="15" customHeight="1" x14ac:dyDescent="0.2">
      <c r="A25" s="71" t="s">
        <v>262</v>
      </c>
    </row>
    <row r="26" spans="1:1" ht="15" customHeight="1" x14ac:dyDescent="0.2">
      <c r="A26" t="s">
        <v>263</v>
      </c>
    </row>
    <row r="27" spans="1:1" ht="15" customHeight="1" x14ac:dyDescent="0.2">
      <c r="A27" t="s">
        <v>264</v>
      </c>
    </row>
    <row r="28" spans="1:1" ht="15" customHeight="1" x14ac:dyDescent="0.2">
      <c r="A28" t="s">
        <v>265</v>
      </c>
    </row>
    <row r="29" spans="1:1" ht="15" customHeight="1" x14ac:dyDescent="0.2">
      <c r="A29" s="71" t="s">
        <v>266</v>
      </c>
    </row>
    <row r="30" spans="1:1" ht="15" customHeight="1" x14ac:dyDescent="0.2">
      <c r="A30" t="s">
        <v>267</v>
      </c>
    </row>
    <row r="31" spans="1:1" ht="15" customHeight="1" x14ac:dyDescent="0.2">
      <c r="A31" t="s">
        <v>268</v>
      </c>
    </row>
    <row r="32" spans="1:1" ht="15" customHeight="1" x14ac:dyDescent="0.2">
      <c r="A32" t="s">
        <v>269</v>
      </c>
    </row>
    <row r="34" spans="1:1" ht="15" customHeight="1" x14ac:dyDescent="0.2">
      <c r="A34" s="71" t="s">
        <v>270</v>
      </c>
    </row>
    <row r="35" spans="1:1" ht="15" customHeight="1" x14ac:dyDescent="0.2">
      <c r="A35" t="s">
        <v>271</v>
      </c>
    </row>
    <row r="36" spans="1:1" ht="15" customHeight="1" x14ac:dyDescent="0.2">
      <c r="A36" s="71" t="s">
        <v>272</v>
      </c>
    </row>
    <row r="37" spans="1:1" ht="15" customHeight="1" x14ac:dyDescent="0.2">
      <c r="A37" t="s">
        <v>273</v>
      </c>
    </row>
    <row r="38" spans="1:1" ht="15" customHeight="1" x14ac:dyDescent="0.2">
      <c r="A38" t="s">
        <v>274</v>
      </c>
    </row>
    <row r="39" spans="1:1" ht="15" customHeight="1" x14ac:dyDescent="0.2">
      <c r="A39" t="s">
        <v>275</v>
      </c>
    </row>
    <row r="40" spans="1:1" ht="15" customHeight="1" x14ac:dyDescent="0.2">
      <c r="A40" s="71" t="s">
        <v>276</v>
      </c>
    </row>
    <row r="41" spans="1:1" ht="15" customHeight="1" x14ac:dyDescent="0.2">
      <c r="A41" t="s">
        <v>277</v>
      </c>
    </row>
    <row r="42" spans="1:1" ht="15" customHeight="1" x14ac:dyDescent="0.2">
      <c r="A42" t="s">
        <v>278</v>
      </c>
    </row>
    <row r="43" spans="1:1" ht="15" customHeight="1" x14ac:dyDescent="0.2">
      <c r="A43" t="s">
        <v>279</v>
      </c>
    </row>
    <row r="44" spans="1:1" ht="15" customHeight="1" x14ac:dyDescent="0.2">
      <c r="A44" s="71" t="s">
        <v>280</v>
      </c>
    </row>
    <row r="45" spans="1:1" ht="15" customHeight="1" x14ac:dyDescent="0.2">
      <c r="A45" t="s">
        <v>281</v>
      </c>
    </row>
    <row r="46" spans="1:1" ht="15" customHeight="1" x14ac:dyDescent="0.2">
      <c r="A46" t="s">
        <v>282</v>
      </c>
    </row>
    <row r="47" spans="1:1" ht="15" customHeight="1" x14ac:dyDescent="0.2">
      <c r="A47" t="s">
        <v>283</v>
      </c>
    </row>
    <row r="48" spans="1:1" ht="15" customHeight="1" x14ac:dyDescent="0.2">
      <c r="A48" t="s">
        <v>284</v>
      </c>
    </row>
    <row r="49" spans="1:1" ht="15" customHeight="1" x14ac:dyDescent="0.2">
      <c r="A49" t="s">
        <v>285</v>
      </c>
    </row>
    <row r="50" spans="1:1" ht="15" customHeight="1" x14ac:dyDescent="0.2">
      <c r="A50" t="s">
        <v>286</v>
      </c>
    </row>
    <row r="51" spans="1:1" ht="15" customHeight="1" x14ac:dyDescent="0.2">
      <c r="A51" t="s">
        <v>287</v>
      </c>
    </row>
    <row r="53" spans="1:1" ht="15" customHeight="1" x14ac:dyDescent="0.2">
      <c r="A53" s="71" t="s">
        <v>288</v>
      </c>
    </row>
    <row r="54" spans="1:1" ht="15" customHeight="1" x14ac:dyDescent="0.2">
      <c r="A54" t="s">
        <v>289</v>
      </c>
    </row>
    <row r="55" spans="1:1" ht="15" customHeight="1" x14ac:dyDescent="0.2">
      <c r="A55" s="71" t="s">
        <v>290</v>
      </c>
    </row>
    <row r="56" spans="1:1" ht="15" customHeight="1" x14ac:dyDescent="0.2">
      <c r="A56" t="s">
        <v>291</v>
      </c>
    </row>
    <row r="57" spans="1:1" ht="15" customHeight="1" x14ac:dyDescent="0.2">
      <c r="A57" t="s">
        <v>292</v>
      </c>
    </row>
    <row r="58" spans="1:1" ht="15" customHeight="1" x14ac:dyDescent="0.2">
      <c r="A58" t="s">
        <v>293</v>
      </c>
    </row>
    <row r="59" spans="1:1" ht="15" customHeight="1" x14ac:dyDescent="0.2">
      <c r="A59" s="71" t="s">
        <v>294</v>
      </c>
    </row>
    <row r="60" spans="1:1" ht="15" customHeight="1" x14ac:dyDescent="0.2">
      <c r="A60" t="s">
        <v>295</v>
      </c>
    </row>
    <row r="61" spans="1:1" ht="15" customHeight="1" x14ac:dyDescent="0.2">
      <c r="A61" t="s">
        <v>296</v>
      </c>
    </row>
    <row r="62" spans="1:1" ht="15" customHeight="1" x14ac:dyDescent="0.2">
      <c r="A62" t="s">
        <v>297</v>
      </c>
    </row>
    <row r="63" spans="1:1" ht="15" customHeight="1" x14ac:dyDescent="0.2">
      <c r="A63" s="71" t="s">
        <v>298</v>
      </c>
    </row>
    <row r="64" spans="1:1" ht="15" customHeight="1" x14ac:dyDescent="0.2">
      <c r="A64" t="s">
        <v>299</v>
      </c>
    </row>
    <row r="65" spans="1:1" ht="15" customHeight="1" x14ac:dyDescent="0.2">
      <c r="A65" t="s">
        <v>300</v>
      </c>
    </row>
    <row r="66" spans="1:1" ht="15" customHeight="1" x14ac:dyDescent="0.2">
      <c r="A66" t="s">
        <v>301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Calendario Temporalidad</vt:lpstr>
      <vt:lpstr>Servicios</vt:lpstr>
      <vt:lpstr>Análisis de resultados WEB</vt:lpstr>
      <vt:lpstr>Plan de MKT</vt:lpstr>
      <vt:lpstr>Competencia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Elizabeth Velázquez Fuentes</dc:creator>
  <dc:description/>
  <cp:lastModifiedBy>Alejandro Antuna</cp:lastModifiedBy>
  <cp:revision>0</cp:revision>
  <dcterms:created xsi:type="dcterms:W3CDTF">2026-01-28T22:03:10Z</dcterms:created>
  <dcterms:modified xsi:type="dcterms:W3CDTF">2026-03-27T19:38:34Z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0x010100AD3FA36E628BCB4BA63C6ACE3C74A42B</vt:lpwstr>
  </property>
  <property fmtid="{D5CDD505-2E9C-101B-9397-08002B2CF9AE}" pid="3" name="MediaServiceImageTags">
    <vt:lpwstr/>
  </property>
</Properties>
</file>