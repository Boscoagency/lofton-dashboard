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endario Temporalidad" sheetId="1" state="visible" r:id="rId3"/>
    <sheet name="Temporalidades" sheetId="2" state="visible" r:id="rId4"/>
    <sheet name="Servicios" sheetId="3" state="visible" r:id="rId5"/>
    <sheet name="Análisis RRSS" sheetId="4" state="visible" r:id="rId6"/>
    <sheet name="Análisis de resultados WEB" sheetId="5" state="visible" r:id="rId7"/>
    <sheet name="Plan de MKT" sheetId="6" state="visible" r:id="rId8"/>
    <sheet name="Competenc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<sst xmlns="http://schemas.openxmlformats.org/spreadsheetml/2006/main" count="461" uniqueCount="370">
  <si>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</si>
  <si>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</si>
  <si>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</si>
  <si>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</si>
  <si>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</si>
  <si>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</si>
  <si>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</si>
  <si>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</si>
  <si>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</si>
  <si>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</si>
  <si>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</si>
  <si>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</si>
  <si>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Auditoría</t>
  </si>
  <si>
    <t xml:space="preserve">Auditoría de Estados Financieros</t>
  </si>
  <si>
    <t xml:space="preserve">Dictamen Fiscal - 15 de mayo</t>
  </si>
  <si>
    <t xml:space="preserve">Auditoría de Contribuciones Locales</t>
  </si>
  <si>
    <t xml:space="preserve">Aviso Dictamen Contribuciones Locales CDMX (15 de marzo)</t>
  </si>
  <si>
    <t xml:space="preserve">Dictamen Contribuciones Locales CDMX (31 de mayo)</t>
  </si>
  <si>
    <t xml:space="preserve">Aviso Dictamen EdoMex (31 de julio)</t>
  </si>
  <si>
    <t xml:space="preserve">Dictamen EdoMex - 30 de agosto</t>
  </si>
  <si>
    <t xml:space="preserve">Auditoría IMSS</t>
  </si>
  <si>
    <t xml:space="preserve">Aviso Dictamen IMSS a más tardar el 30 de abril</t>
  </si>
  <si>
    <t xml:space="preserve">Dictamen IMSS - 30 de septiembre</t>
  </si>
  <si>
    <t xml:space="preserve">Aviso Dictamen INFONAVIT- ultimo dia habil abril, se presenta en los 6 meses posteriores</t>
  </si>
  <si>
    <t xml:space="preserve">Límite Dictamen INFONAVIT</t>
  </si>
  <si>
    <t xml:space="preserve">Precios de transferencia - DIOPR (15 de mayo)</t>
  </si>
  <si>
    <t xml:space="preserve">Contabilidad - Fiscal</t>
  </si>
  <si>
    <t xml:space="preserve">Asesoría &amp; Defensa Fiscal</t>
  </si>
  <si>
    <t xml:space="preserve">Programa de Regularización Fiscal del SAT </t>
  </si>
  <si>
    <t xml:space="preserve">(Límite para pedirlo, último día de octubre)</t>
  </si>
  <si>
    <t xml:space="preserve">Declaración Anual PM</t>
  </si>
  <si>
    <t xml:space="preserve">Cierre Fiscal/
Planeación Fiscal</t>
  </si>
  <si>
    <t xml:space="preserve">Declaración Anual PF</t>
  </si>
  <si>
    <t xml:space="preserve">Coeficiente de utilidad (Aplicación)</t>
  </si>
  <si>
    <t xml:space="preserve">Contabilidad Integral</t>
  </si>
  <si>
    <t xml:space="preserve">Timbrado de nomina ejercicio anterior para deduccion completa en anual</t>
  </si>
  <si>
    <t xml:space="preserve">Reparto de utlidades</t>
  </si>
  <si>
    <t xml:space="preserve">CUCA &amp; CUFIN</t>
  </si>
  <si>
    <t xml:space="preserve">CFDI de retenciones por pagos al extranjero</t>
  </si>
  <si>
    <t xml:space="preserve">Inventarios</t>
  </si>
  <si>
    <t xml:space="preserve">Corporativo - Mercantil</t>
  </si>
  <si>
    <t xml:space="preserve">Gobierno Corporativo*</t>
  </si>
  <si>
    <t xml:space="preserve">*De la mano con Due Dillingence</t>
  </si>
  <si>
    <t xml:space="preserve">Actas de asamblea Edos. Financieros</t>
  </si>
  <si>
    <t xml:space="preserve">Contratos mercantiles</t>
  </si>
  <si>
    <t xml:space="preserve">Constitución y restructuración de empresas</t>
  </si>
  <si>
    <t xml:space="preserve">Beneficiario Controlador (Con fiscal)</t>
  </si>
  <si>
    <t xml:space="preserve">Laboral-Nóminas</t>
  </si>
  <si>
    <t xml:space="preserve">Compliance Laboral (Individual y colectivo)</t>
  </si>
  <si>
    <t xml:space="preserve">Inspecciones STPS (Seguridad e higiene y REPSE)</t>
  </si>
  <si>
    <t xml:space="preserve">Nómina</t>
  </si>
  <si>
    <t xml:space="preserve">Litigio Laboral</t>
  </si>
  <si>
    <t xml:space="preserve">Informativas ICSOE y SISUB</t>
  </si>
  <si>
    <t xml:space="preserve">Pago PTU</t>
  </si>
  <si>
    <t xml:space="preserve">Inspecciones PTU</t>
  </si>
  <si>
    <t xml:space="preserve">Inspecciones Aguinaldo</t>
  </si>
  <si>
    <t xml:space="preserve">Pago Aguinaldo</t>
  </si>
  <si>
    <t xml:space="preserve">Servicio</t>
  </si>
  <si>
    <t xml:space="preserve">Tema/Actividad</t>
  </si>
  <si>
    <t xml:space="preserve">Fecha Inicio</t>
  </si>
  <si>
    <t xml:space="preserve">Fecha Fin</t>
  </si>
  <si>
    <t xml:space="preserve">Duración (días)</t>
  </si>
  <si>
    <t xml:space="preserve">Notas</t>
  </si>
  <si>
    <t xml:space="preserve">Dictamen Fiscal (Aviso y presentación)</t>
  </si>
  <si>
    <t xml:space="preserve">El dictamen se presenta a más tardar el 15 de mayo</t>
  </si>
  <si>
    <t xml:space="preserve">Dictamen Fiscal (Empuje para sig año)</t>
  </si>
  <si>
    <t xml:space="preserve">Auditoría de estados financieros como detección de riesgo</t>
  </si>
  <si>
    <t xml:space="preserve">Aquellas empresas que no se dictaminen para efectos fiscales, deben contar con una revisión de sus cifras financieras y fiscales, para identificar si tienen alguna conducta de riesgo según el SATEvaluar una reactivación en septiembre</t>
  </si>
  <si>
    <t xml:space="preserve">Dictamen CDMX (Aviso y presentación)</t>
  </si>
  <si>
    <t xml:space="preserve">En CDMX, el aviso se presenta a más tardar el 15 de marzo, y el dictamen se presenta a más tardar el 31 de mayo. Sólo Nóminas y Predial</t>
  </si>
  <si>
    <t xml:space="preserve">Dictamen EdoMex Impuesto Nómina (A y P)</t>
  </si>
  <si>
    <t xml:space="preserve">En EdoMex, el aviso se presenta a más tardar el 31 de julio, y el dictamen se presenta a más tardar el 31 de agosto</t>
  </si>
  <si>
    <t xml:space="preserve">Auditoría de contribuciones locales</t>
  </si>
  <si>
    <t xml:space="preserve">Dictamen IMSS (Aviso y presentación)</t>
  </si>
  <si>
    <t xml:space="preserve">El aviso se presenta a más tardar el 30 de abril, y el dictamen se presenta a más tardar el 30 de septiembre</t>
  </si>
  <si>
    <t xml:space="preserve">Auditoría INFONAVIT</t>
  </si>
  <si>
    <t xml:space="preserve">Dictamen Infonavit (Aviso y presentación)</t>
  </si>
  <si>
    <t xml:space="preserve">El aviso se presenta a más tardar el 30 de abril, y el dictamen se presenta en los seis meses posteriores</t>
  </si>
  <si>
    <t xml:space="preserve">Precios de Transferencia</t>
  </si>
  <si>
    <t xml:space="preserve">DIOPR</t>
  </si>
  <si>
    <t xml:space="preserve">Actualmente tenemos este servicio en el área de Auditoría, sería bueno evaluar si es conveniente mantenerlo ahí. Dividir la promoción en 3 etapas (Diagnóstico, Conversión, Remate)</t>
  </si>
  <si>
    <t xml:space="preserve">Fecha de inicio de promoción  </t>
  </si>
  <si>
    <t xml:space="preserve">Fecha de finalización de promoción  </t>
  </si>
  <si>
    <t xml:space="preserve">Asesoría Fiscal</t>
  </si>
  <si>
    <t xml:space="preserve">Consultas fiscales especializadas</t>
  </si>
  <si>
    <t xml:space="preserve">Si los clientes están dudosos en aplicar una ley, un criterio etc., es preferible que analicemos a profundidad para darles certeza sobre el correcto tratamiento que hay que darle a la operación, por ejemplo, el Programa de regularización del SAT</t>
  </si>
  <si>
    <t xml:space="preserve">Contestación a cartas invitación o vigilancia profunda</t>
  </si>
  <si>
    <t xml:space="preserve">Este podemos dividirlo en tres picos</t>
  </si>
  <si>
    <t xml:space="preserve">Defensa Fiscal</t>
  </si>
  <si>
    <t xml:space="preserve">Acompañamiento y asesoramiento en Auditorías por el SAT</t>
  </si>
  <si>
    <t xml:space="preserve">Para prevenir la determinación de créditos fiscales excesivos y/o tener un buen soporte para poder impugnar mediante un recurso o juicio.</t>
  </si>
  <si>
    <t xml:space="preserve">Declaración anual</t>
  </si>
  <si>
    <t xml:space="preserve">Declaración anual PM
Declaración anual PF</t>
  </si>
  <si>
    <t xml:space="preserve">Cierre Fiscal</t>
  </si>
  <si>
    <t xml:space="preserve">Disminución del Coeficiente de Utilidad</t>
  </si>
  <si>
    <t xml:space="preserve">Es una especie de beneficio que se aplica a partir del segundo semestre del año para disminuir el pago de impuestos, hay que hacer un análisis para determinar si se puede aplicar y cómo</t>
  </si>
  <si>
    <t xml:space="preserve">Servicio de contabilidad (llevar la contabilidad de la empresa)</t>
  </si>
  <si>
    <t xml:space="preserve">Considerar 3 picos: enero - febrero, julio y octubre</t>
  </si>
  <si>
    <t xml:space="preserve">Split % </t>
  </si>
  <si>
    <t xml:space="preserve">Temas-servicios</t>
  </si>
  <si>
    <t xml:space="preserve">Inicio</t>
  </si>
  <si>
    <t xml:space="preserve">Duración</t>
  </si>
  <si>
    <t xml:space="preserve">Temas, subservicios</t>
  </si>
  <si>
    <t xml:space="preserve">Reparto de utilidades</t>
  </si>
  <si>
    <t xml:space="preserve">CUCA y CUFIN</t>
  </si>
  <si>
    <t xml:space="preserve">Considerar reactivación ligera en mayo–junio (cuando piensan en dividendos) y en sep–oct (planeación)</t>
  </si>
  <si>
    <t xml:space="preserve">Gobierno Corporativo</t>
  </si>
  <si>
    <t xml:space="preserve">Actas de asamblea</t>
  </si>
  <si>
    <t xml:space="preserve">Actas de asamblea para la aprobación de Estados Financieros</t>
  </si>
  <si>
    <t xml:space="preserve">Se realizan una vez presentada la declaracióna anual, idealmente en abril</t>
  </si>
  <si>
    <t xml:space="preserve">Beneficiario Controlador</t>
  </si>
  <si>
    <t xml:space="preserve">Va de la mano con el área fiscal</t>
  </si>
  <si>
    <t xml:space="preserve">Constitución y restructuración de empresas										</t>
  </si>
  <si>
    <t xml:space="preserve">Laboral - Nóminas</t>
  </si>
  <si>
    <t xml:space="preserve">Inspecciones STPS</t>
  </si>
  <si>
    <t xml:space="preserve">Inspecciones en materia de REPSE
Inspecciones en materia de Seguridad e Higiene</t>
  </si>
  <si>
    <t xml:space="preserve">Estas son las más fuertes para el 2026, pero pueden ser de cualquier tipo</t>
  </si>
  <si>
    <t xml:space="preserve">Blindaje laboral</t>
  </si>
  <si>
    <t xml:space="preserve">Cumplimiento con la normativa en materia individual
Cumplimiento con la normativa en materia colectiva</t>
  </si>
  <si>
    <t xml:space="preserve">En la primera etapa manejarlo desde el enfoque de prevencion, y la otra en cierre sin contingencias</t>
  </si>
  <si>
    <t xml:space="preserve">Administración de Nómina</t>
  </si>
  <si>
    <t xml:space="preserve">Cálculo de Nómina
Timbrado de Nómina</t>
  </si>
  <si>
    <t xml:space="preserve">Valorar una tercera reactivación en octubre</t>
  </si>
  <si>
    <t xml:space="preserve">Informativas ICSOE-SISUB</t>
  </si>
  <si>
    <t xml:space="preserve">Se presentan en enero, mayo, y septiembre a más tardar el día 17</t>
  </si>
  <si>
    <t xml:space="preserve">PTU</t>
  </si>
  <si>
    <t xml:space="preserve">Cálculo para pago y asesoría en caso de inspecciones</t>
  </si>
  <si>
    <t xml:space="preserve">Pago en mayo, inspecciones durante los siguientes tres meses</t>
  </si>
  <si>
    <t xml:space="preserve">Aguinaldo</t>
  </si>
  <si>
    <t xml:space="preserve">Pago en diciembre, inspecciones durante los siguientes tres meses</t>
  </si>
  <si>
    <t xml:space="preserve">LinkedIn – Canal Estratégico Prioritario</t>
  </si>
  <si>
    <t xml:space="preserve">Rol del canal:</t>
  </si>
  <si>
    <t xml:space="preserve">LinkedIn es el principal canal de posicionamiento experto y generación de demanda B2B. Debe concentrar la mayor parte del esfuerzo del equipo de marketing.</t>
  </si>
  <si>
    <t xml:space="preserve">Overview:</t>
  </si>
  <si>
    <t xml:space="preserve">2425 seguidores</t>
  </si>
  <si>
    <t xml:space="preserve">6884 impresiones en el último trimestre</t>
  </si>
  <si>
    <t xml:space="preserve">109 reacciones en el último trimestre</t>
  </si>
  <si>
    <t xml:space="preserve">5 compartidos y 1 comentario en el último trimestre</t>
  </si>
  <si>
    <t xml:space="preserve">Observaciones: </t>
  </si>
  <si>
    <t xml:space="preserve">- Engagement estable, pero concentrado en pocos tipos de publicaciones.</t>
  </si>
  <si>
    <t xml:space="preserve">- Conversación limitada en la mayoría de los posts.</t>
  </si>
  <si>
    <t xml:space="preserve">- Señales de intención (clics, comentarios) más fuertes en contenido preventivo.</t>
  </si>
  <si>
    <t xml:space="preserve">Perfil Seguidores:</t>
  </si>
  <si>
    <t xml:space="preserve">- Predominan perfiles técnicos y operativos.</t>
  </si>
  <si>
    <t xml:space="preserve">- Baja proporción de C‑level (DG, CFO).</t>
  </si>
  <si>
    <t xml:space="preserve">Desempeño por tema:</t>
  </si>
  <si>
    <t xml:space="preserve">Desempeño relativo</t>
  </si>
  <si>
    <t xml:space="preserve">Tema</t>
  </si>
  <si>
    <t xml:space="preserve">Alto</t>
  </si>
  <si>
    <t xml:space="preserve">Opinión experta / riesgos</t>
  </si>
  <si>
    <t xml:space="preserve">Prevención fiscal / legal</t>
  </si>
  <si>
    <t xml:space="preserve">Medio</t>
  </si>
  <si>
    <t xml:space="preserve">Educativo genérico</t>
  </si>
  <si>
    <t xml:space="preserve">Bajo</t>
  </si>
  <si>
    <t xml:space="preserve">Institucional</t>
  </si>
  <si>
    <t xml:space="preserve">Promoción de servicios</t>
  </si>
  <si>
    <t xml:space="preserve">Insight: El contenido que alerta sobre riesgos y errores genera significativamente más interacción.
</t>
  </si>
  <si>
    <t xml:space="preserve">Desempeño por formato:</t>
  </si>
  <si>
    <t xml:space="preserve">Formato</t>
  </si>
  <si>
    <t xml:space="preserve">Resultado observado</t>
  </si>
  <si>
    <t xml:space="preserve">Documento (PDF)</t>
  </si>
  <si>
    <t xml:space="preserve">Mayor engagement y retención</t>
  </si>
  <si>
    <t xml:space="preserve">Imagen + texto</t>
  </si>
  <si>
    <t xml:space="preserve">Buen balance alcance / interacción</t>
  </si>
  <si>
    <t xml:space="preserve">Video corto</t>
  </si>
  <si>
    <t xml:space="preserve">Buen alcance, engagement medio</t>
  </si>
  <si>
    <t xml:space="preserve">Texto plano</t>
  </si>
  <si>
    <t xml:space="preserve">Bajo desempeño</t>
  </si>
  <si>
    <t xml:space="preserve">Link externo directo</t>
  </si>
  <si>
    <t xml:space="preserve">Penalizado por algoritmo</t>
  </si>
  <si>
    <t xml:space="preserve">Insight: Priorizar documentos y carruseles para temas complejos. Reducir texto plano y uso de links externos directos.
</t>
  </si>
  <si>
    <t xml:space="preserve">Performance de las páginas:</t>
  </si>
  <si>
    <t xml:space="preserve">- Lofton Servicios Integrales: mayor tracción y engagement.</t>
  </si>
  <si>
    <t xml:space="preserve">- Otras páginas: bajo volumen y dispersión de esfuerzos.</t>
  </si>
  <si>
    <t xml:space="preserve">Instagram – Canal de Awareness</t>
  </si>
  <si>
    <t xml:space="preserve">Instagram debe utilizarse para humanizar la marca y reforzar confianza, no como canal principal de generación de leads.</t>
  </si>
  <si>
    <t xml:space="preserve">435 seguidores</t>
  </si>
  <si>
    <t xml:space="preserve">6916 impresiones en el último trimestre</t>
  </si>
  <si>
    <t xml:space="preserve">654 cuentas alcanzadas en el último trimestre</t>
  </si>
  <si>
    <t xml:space="preserve">El formato con mejor rendimiento es el reel</t>
  </si>
  <si>
    <t xml:space="preserve">- Retención en Reels Baja después de los primeros segundos. Debemos centrarnos en impacto visual y mensajes simples</t>
  </si>
  <si>
    <t xml:space="preserve">- Pocos guardados y compartidos.</t>
  </si>
  <si>
    <t xml:space="preserve">- Interacción principalmente superficial (likes).</t>
  </si>
  <si>
    <t xml:space="preserve">YouTube Shorts – Top of Funnel</t>
  </si>
  <si>
    <t xml:space="preserve">Generar visibilidad y abrir problemas, no construir comunidad en esta etapa.</t>
  </si>
  <si>
    <t xml:space="preserve">539 suscriptores</t>
  </si>
  <si>
    <t xml:space="preserve">1879 visualizaciones en el último trimestre</t>
  </si>
  <si>
    <t xml:space="preserve">32.1 horas de visualización en el último trimestre</t>
  </si>
  <si>
    <t xml:space="preserve">1 suscriptor en el último trimestre</t>
  </si>
  <si>
    <t xml:space="preserve">- Duración promedio de vista: corta.</t>
  </si>
  <si>
    <t xml:space="preserve">- Alto abandono antes del cierre del mensaje.</t>
  </si>
  <si>
    <t xml:space="preserve">- Suscripciones derivadas bajas respecto a vistas.</t>
  </si>
  <si>
    <t xml:space="preserve">Insight clave:</t>
  </si>
  <si>
    <t xml:space="preserve">Los Shorts deben abrir un problema y redirigir a LinkedIn o web para la solución.</t>
  </si>
  <si>
    <t xml:space="preserve">Resumen ejecutivo, base para el plan de marketing 2026</t>
  </si>
  <si>
    <t xml:space="preserve">Proyecto:</t>
  </si>
  <si>
    <t xml:space="preserve">LOFTON Servicios Integrales (México)</t>
  </si>
  <si>
    <t xml:space="preserve">Objetivo de negocio</t>
  </si>
  <si>
    <t xml:space="preserve">aumentar generación de leads, priorizando captación por formulario (para calificar mejor desde el primer contacto).</t>
  </si>
  <si>
    <t xml:space="preserve">Stack actual</t>
  </si>
  <si>
    <t xml:space="preserve">sitio en WordPress y CRM Kommo.</t>
  </si>
  <si>
    <t xml:space="preserve">Diagnóstico ejecutivo</t>
  </si>
  <si>
    <t xml:space="preserve">Hoy existe una brecha clara entre atracción y conversión: el sitio (especialmente el contenido tipo artículos) logra atraer visitas, pero el recorrido hacia “dejar datos” tiene fricciones y elementos que reducen la confianza. En paralelo, hay señales de problemas de performance y SEO técnico que limitan el posicionamiento orgánico y debilitan la visibilidad futura en buscadores basados en IA.</t>
  </si>
  <si>
    <t xml:space="preserve">Impacto en marketing</t>
  </si>
  <si>
    <t xml:space="preserve">Menos leads de los que podrías capturar con el tráfico actual, por falta de CTAs y formularios integrados en puntos clave.</t>
  </si>
  <si>
    <t xml:space="preserve">Pérdida de confianza por inconsistencias visuales, elementos confusos (como un carrito sin función) y detalles de presentación que no comunican nivel profesional.</t>
  </si>
  <si>
    <t xml:space="preserve">Menor desempeño orgánico si el sitio mantiene cargas pesadas y problemas técnicos, especialmente en móvil.</t>
  </si>
  <si>
    <t xml:space="preserve">Prioridades inmediatas recomendadas</t>
  </si>
  <si>
    <t xml:space="preserve">Credibilidad y coherencia comercial</t>
  </si>
  <si>
    <t xml:space="preserve">corregir información de oficinas, mejorar consistencia visual, eliminar elementos que confunden y ajustar formularios para que la experiencia se sienta profesional (evitar señales que “devalúen” la marca).</t>
  </si>
  <si>
    <t xml:space="preserve">Conversion rate (formulario como meta principal):</t>
  </si>
  <si>
    <t xml:space="preserve">habilitar rutas claras de captura (CTAs y formularios) en páginas de servicios y artículos, con un journey directo y sin fricción hacia contacto.</t>
  </si>
  <si>
    <t xml:space="preserve">Base técnica para SEO y AI search:</t>
  </si>
  <si>
    <t xml:space="preserve">reducir fricción de carga (LCP/DOM/JS) y corregir issues SEO on-page (metadatos, estructura, recursos y calidad de implementación) para que el contenido “rankee” y también sea interpretable por sistemas de IA.</t>
  </si>
  <si>
    <t xml:space="preserve">Qué significan los términos técnicos</t>
  </si>
  <si>
    <t xml:space="preserve">LCP: cuánto tarda en aparecer el elemento principal visible; si es alto, el sitio “se siente lento”.
DOM: cuántos elementos componen la página; si es enorme, pesa y se traba más, sobre todo en móvil.
JS: scripts que habilitan funciones; si son muchos o pesados, retrasan carga e interacción (y bajan conversiones).</t>
  </si>
  <si>
    <t xml:space="preserve">Cómo mediremos avance (KPIs ejecutivos)</t>
  </si>
  <si>
    <t xml:space="preserve">Leads por formulario (total y por fuente orgánica).
Tasa de conversión a formulario en artículos y páginas de servicios.
Mejoras en performance móvil (LCP y estabilidad de carga) y reducción de errores SEO relevantes.
Tráfico en sitio web: fuentes, sesiones activas, retención</t>
  </si>
  <si>
    <t xml:space="preserve">Slide 1</t>
  </si>
  <si>
    <t xml:space="preserve">Antes de hablar de marketing, hablemos del negocio </t>
  </si>
  <si>
    <t xml:space="preserve">¿Qué es Lofton hoy?</t>
  </si>
  <si>
    <t xml:space="preserve">Slide 1 </t>
  </si>
  <si>
    <t xml:space="preserve">Portada</t>
  </si>
  <si>
    <t xml:space="preserve">¿Dónde está el riesgo?</t>
  </si>
  <si>
    <t xml:space="preserve">Slide 2 </t>
  </si>
  <si>
    <t xml:space="preserve">¿Qué buscamos con este plan?</t>
  </si>
  <si>
    <t xml:space="preserve">¿Dónde está la oportunidad de crecimiento?</t>
  </si>
  <si>
    <t xml:space="preserve">Slide 3</t>
  </si>
  <si>
    <t xml:space="preserve">Planteamiento - introducción al diagnostico</t>
  </si>
  <si>
    <t xml:space="preserve">Slide 4</t>
  </si>
  <si>
    <t xml:space="preserve">Diagnostico - Web</t>
  </si>
  <si>
    <t xml:space="preserve">Slide 2</t>
  </si>
  <si>
    <t xml:space="preserve">Lo que hoy limita el crecimiento</t>
  </si>
  <si>
    <t xml:space="preserve">Slide 5</t>
  </si>
  <si>
    <t xml:space="preserve">Diagnostico - SEO</t>
  </si>
  <si>
    <t xml:space="preserve">Sitio web que no filtra ni comunica bien</t>
  </si>
  <si>
    <t xml:space="preserve">Slide 6</t>
  </si>
  <si>
    <t xml:space="preserve">Diagnostico - Linkedin</t>
  </si>
  <si>
    <t xml:space="preserve">Branding inconsistente</t>
  </si>
  <si>
    <t xml:space="preserve">Slide 7</t>
  </si>
  <si>
    <t xml:space="preserve">Diagnostico - Redes Sociales </t>
  </si>
  <si>
    <t xml:space="preserve">Funnel roto</t>
  </si>
  <si>
    <t xml:space="preserve">Slide 8</t>
  </si>
  <si>
    <t xml:space="preserve">Diagnostico - Comercial </t>
  </si>
  <si>
    <t xml:space="preserve">Aquí tengo duda de qué va</t>
  </si>
  <si>
    <t xml:space="preserve">Leads de baja calidad</t>
  </si>
  <si>
    <t xml:space="preserve">Slide 9</t>
  </si>
  <si>
    <t xml:space="preserve">Diágnostico - Panorama general (datos críticos)</t>
  </si>
  <si>
    <t xml:space="preserve">Especialistas saturados</t>
  </si>
  <si>
    <t xml:space="preserve">Slide 10</t>
  </si>
  <si>
    <t xml:space="preserve">Diágnostico - Resumen general </t>
  </si>
  <si>
    <t xml:space="preserve">¿cuál es la diferencia de este con este?</t>
  </si>
  <si>
    <t xml:space="preserve">Slide 11</t>
  </si>
  <si>
    <t xml:space="preserve">Diagnostico - Planteamiento de KPI's </t>
  </si>
  <si>
    <t xml:space="preserve">Estrategia general</t>
  </si>
  <si>
    <t xml:space="preserve">Slide 12</t>
  </si>
  <si>
    <t xml:space="preserve">Break 1 - Quick Wins antediagnostico </t>
  </si>
  <si>
    <t xml:space="preserve">¿Qué debemos hacer para solucionar lo que no está funcionando?</t>
  </si>
  <si>
    <t xml:space="preserve">Slide 13</t>
  </si>
  <si>
    <t xml:space="preserve">¿Cómo se ve LOFTON?</t>
  </si>
  <si>
    <t xml:space="preserve">Panorama de como son los gráficos, imagen, etc. </t>
  </si>
  <si>
    <t xml:space="preserve">¿Cómo vamos a ayudar a Lofton? Construir un sistema que genere oportunidades calificadas</t>
  </si>
  <si>
    <t xml:space="preserve">Slide 14</t>
  </si>
  <si>
    <t xml:space="preserve">Cuales son los servicios estrella</t>
  </si>
  <si>
    <t xml:space="preserve">Slide 15</t>
  </si>
  <si>
    <t xml:space="preserve">Cuales son las temporalidades</t>
  </si>
  <si>
    <t xml:space="preserve">Enfoque y prioridades</t>
  </si>
  <si>
    <t xml:space="preserve">Slide 16</t>
  </si>
  <si>
    <t xml:space="preserve">Como promocionamos estos servicios </t>
  </si>
  <si>
    <t xml:space="preserve">Planteamiento general de la campana de Gauss- Micro campañas de 3 meses anticipando la necesidad del consumidor </t>
  </si>
  <si>
    <t xml:space="preserve">Enfocarnos en servicios prioritarios</t>
  </si>
  <si>
    <t xml:space="preserve">Slide 17</t>
  </si>
  <si>
    <t xml:space="preserve">Como se ve esto en un calendario</t>
  </si>
  <si>
    <t xml:space="preserve">(Siento que este slide nos lo podríamos ahorrar, si mostramos bien la temporalidad en la gráfica de gauss)</t>
  </si>
  <si>
    <t xml:space="preserve">¿A quién le vamos a hablar?</t>
  </si>
  <si>
    <t xml:space="preserve">Slide 18</t>
  </si>
  <si>
    <t xml:space="preserve">Siguientes pasos -  Primeras acciones</t>
  </si>
  <si>
    <t xml:space="preserve">¿A quienes no vamos a perseguir?</t>
  </si>
  <si>
    <t xml:space="preserve">Slide 19</t>
  </si>
  <si>
    <t xml:space="preserve">Lift de marca - LOTON (Graficos, firmas y etc)</t>
  </si>
  <si>
    <t xml:space="preserve">Slide 20</t>
  </si>
  <si>
    <t xml:space="preserve">Planteamiento Sitio web nuevo </t>
  </si>
  <si>
    <t xml:space="preserve">Servicios</t>
  </si>
  <si>
    <t xml:space="preserve">Slide 21</t>
  </si>
  <si>
    <t xml:space="preserve">Primeras publicaciones</t>
  </si>
  <si>
    <t xml:space="preserve">Definir temas, enfoque y formatos sugeridos</t>
  </si>
  <si>
    <t xml:space="preserve">Servicios de entrada (prioritarios)</t>
  </si>
  <si>
    <t xml:space="preserve">Slide 22</t>
  </si>
  <si>
    <t xml:space="preserve">Servicios recurrentes</t>
  </si>
  <si>
    <t xml:space="preserve">Slide 23</t>
  </si>
  <si>
    <t xml:space="preserve">Servicios premium/Otros</t>
  </si>
  <si>
    <t xml:space="preserve">Slide 24</t>
  </si>
  <si>
    <t xml:space="preserve">Slide 25</t>
  </si>
  <si>
    <t xml:space="preserve">Funnel Marketing</t>
  </si>
  <si>
    <t xml:space="preserve">Slide 26</t>
  </si>
  <si>
    <t xml:space="preserve">Contenido → Filtro → Diagnóstico → Propuesta</t>
  </si>
  <si>
    <t xml:space="preserve">(Agregar responsables)</t>
  </si>
  <si>
    <t xml:space="preserve">Roadmap - Pasos a seguir</t>
  </si>
  <si>
    <t xml:space="preserve">Fases claras</t>
  </si>
  <si>
    <t xml:space="preserve">Qué necesitamos de Lofton para que esto funcione</t>
  </si>
  <si>
    <t xml:space="preserve">Marketing genera y filtra</t>
  </si>
  <si>
    <t xml:space="preserve">Socios diagnostican y cierran</t>
  </si>
  <si>
    <t xml:space="preserve">Disponibilidad mínima de socios (para contenidos)</t>
  </si>
  <si>
    <t xml:space="preserve">Información de márgenes (objetivos)</t>
  </si>
  <si>
    <t xml:space="preserve">Aprobaciones ágiles</t>
  </si>
  <si>
    <t xml:space="preserve">Disciplina de uso de materiales</t>
  </si>
  <si>
    <t xml:space="preserve">Qué esperar y qué no</t>
  </si>
  <si>
    <t xml:space="preserve">Este slide debe ir dedicado a concientizar a Lofton sobre el tiempo que tomará lograr lo prometido, a fin de no generar expectativas irreales, y porqué apegarnos a lo propuesto es lo mejor</t>
  </si>
  <si>
    <t xml:space="preserve">Si es posible, podemos agregar algunos KPIs</t>
  </si>
  <si>
    <t xml:space="preserve">Identificados por KV</t>
  </si>
  <si>
    <t xml:space="preserve">Garrido Licona y Asociados</t>
  </si>
  <si>
    <t xml:space="preserve">MNP Consultores</t>
  </si>
  <si>
    <t xml:space="preserve">Salles Sainz - Grant Thornton, S.C.</t>
  </si>
  <si>
    <t xml:space="preserve">BHR México</t>
  </si>
  <si>
    <t xml:space="preserve">JA Del Río</t>
  </si>
  <si>
    <t xml:space="preserve">Forvis Mazars</t>
  </si>
  <si>
    <t xml:space="preserve">Skatt</t>
  </si>
  <si>
    <t xml:space="preserve">Chevez Ruiz Zamarripa</t>
  </si>
  <si>
    <t xml:space="preserve">Identificados por Socios</t>
  </si>
  <si>
    <t xml:space="preserve">Creel, García-Cuéllar, Aiza y Enríquez, S.C.</t>
  </si>
  <si>
    <t xml:space="preserve">EY</t>
  </si>
  <si>
    <t xml:space="preserve">Deloitte</t>
  </si>
  <si>
    <t xml:space="preserve">Identificados por CHAT</t>
  </si>
  <si>
    <t xml:space="preserve">COMPETENCIA DIRECTA (misma liga estratégica)</t>
  </si>
  <si>
    <t xml:space="preserve">Estos despachos sí compiten frontalmente con Lofton por empresas medianas y grandes, con enfoque preventivo y multidisciplinario.</t>
  </si>
  <si>
    <t xml:space="preserve">Chevez, Ruiz, Zamarripa y Cía.</t>
  </si>
  <si>
    <t xml:space="preserve">Muy fuertes en fiscal y defensa</t>
  </si>
  <si>
    <t xml:space="preserve">Marca de alto nivel</t>
  </si>
  <si>
    <t xml:space="preserve">Más legal que operativo</t>
  </si>
  <si>
    <t xml:space="preserve">📌 Compite con Lofton en empresas grandes, pero menos cercano en operación diaria.</t>
  </si>
  <si>
    <t xml:space="preserve">Ritch Mueller</t>
  </si>
  <si>
    <t xml:space="preserve">Legal corporativo y fiscal premium</t>
  </si>
  <si>
    <t xml:space="preserve">Enfoque transaccional</t>
  </si>
  <si>
    <t xml:space="preserve">📌 Compite en proyectos puntuales, no en acompañamiento integral continuo.</t>
  </si>
  <si>
    <t xml:space="preserve">Basham, Ringe y Correa</t>
  </si>
  <si>
    <t xml:space="preserve">Full service legal</t>
  </si>
  <si>
    <t xml:space="preserve">Clientes grandes y corporativos</t>
  </si>
  <si>
    <t xml:space="preserve">📌 Más legal que fiscal-operativo; Lofton es más “hands-on”.</t>
  </si>
  <si>
    <t xml:space="preserve">COMPETENCIA HÍBRIDA (muy relevante)</t>
  </si>
  <si>
    <t xml:space="preserve">Aquí están los despachos que más ruido le hacen a Lofton porque combinan varias disciplinas.</t>
  </si>
  <si>
    <t xml:space="preserve">KPMG México</t>
  </si>
  <si>
    <t xml:space="preserve">Auditoría, fiscal, legal, nómina</t>
  </si>
  <si>
    <t xml:space="preserve">Marca muy fuerte</t>
  </si>
  <si>
    <t xml:space="preserve">📌 Compite cuando el cliente quiere “marca”, no cercanía.</t>
  </si>
  <si>
    <t xml:space="preserve">Deloitte México</t>
  </si>
  <si>
    <t xml:space="preserve">Muy buena consultoría</t>
  </si>
  <si>
    <t xml:space="preserve">Estructuras grandes</t>
  </si>
  <si>
    <t xml:space="preserve">📌 Pierde en flexibilidad y trato personalizado frente a Lofton.</t>
  </si>
  <si>
    <t xml:space="preserve">EY México</t>
  </si>
  <si>
    <t xml:space="preserve">Fuerte en fiscal y auditoría</t>
  </si>
  <si>
    <t xml:space="preserve">📌 Más caro y menos cercano; Lofton gana en agilidad.</t>
  </si>
  <si>
    <t xml:space="preserve">👉 Conclusión clave para marketing</t>
  </si>
  <si>
    <t xml:space="preserve">Lofton no debe competir en marca, sino en:</t>
  </si>
  <si>
    <t xml:space="preserve">Cercanía</t>
  </si>
  <si>
    <t xml:space="preserve">Prevención</t>
  </si>
  <si>
    <t xml:space="preserve">Entendimiento real del negocio</t>
  </si>
  <si>
    <t xml:space="preserve">COMPETENCIA MEDIA (la más peligrosa en ventas)</t>
  </si>
  <si>
    <t xml:space="preserve">Estos despachos se parecen mucho a Lofton, pero no siempre lo dicen bien.</t>
  </si>
  <si>
    <t xml:space="preserve">Crowe México</t>
  </si>
  <si>
    <t xml:space="preserve">Auditoría, fiscal, contabilidad</t>
  </si>
  <si>
    <t xml:space="preserve">Buen balance precio-servicio</t>
  </si>
  <si>
    <t xml:space="preserve">📌 Competidor real en empresas medianas.</t>
  </si>
  <si>
    <t xml:space="preserve">BDO México</t>
  </si>
  <si>
    <t xml:space="preserve">Presencia nacional</t>
  </si>
  <si>
    <t xml:space="preserve">Buen enfoque empresarial</t>
  </si>
  <si>
    <t xml:space="preserve">📌 Muy comparable a Lofton en alcance.</t>
  </si>
  <si>
    <t xml:space="preserve">Russell Bedford México</t>
  </si>
  <si>
    <t xml:space="preserve">Red internacional</t>
  </si>
  <si>
    <t xml:space="preserve">Clientes medianos</t>
  </si>
  <si>
    <t xml:space="preserve">📌 Compite en empresas extranjeras en México.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</si>
</sst>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0"/>
    <numFmt numFmtId="167" formatCode="0%"/>
    <numFmt numFmtId="168" formatCode="d\-mmm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2"/>
      <color theme="1"/>
      <name val="Raleway"/>
      <family val="0"/>
      <charset val="1"/>
    </font>
    <font>
      <b val="true"/>
      <sz val="12"/>
      <color theme="0"/>
      <name val="Raleway Medium"/>
      <family val="0"/>
      <charset val="1"/>
    </font>
    <font>
      <b val="true"/>
      <sz val="12"/>
      <color theme="1"/>
      <name val="Raleway Medium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5" tint="-0.25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242424"/>
      <name val="Aptos Narrow"/>
      <family val="0"/>
      <charset val="1"/>
    </font>
    <font>
      <b val="true"/>
      <sz val="12"/>
      <color rgb="FFFFC000"/>
      <name val="Calibri"/>
      <family val="2"/>
      <charset val="1"/>
    </font>
    <font>
      <b val="true"/>
      <sz val="11"/>
      <color rgb="FF000000"/>
      <name val="Aptos"/>
      <family val="0"/>
      <charset val="1"/>
    </font>
    <font>
      <sz val="11"/>
      <color rgb="FF000000"/>
      <name val="Aptos"/>
      <family val="0"/>
      <charset val="1"/>
    </font>
    <font>
      <sz val="11"/>
      <color rgb="FF000000"/>
      <name val="Calibri"/>
      <family val="2"/>
      <charset val="1"/>
    </font>
    <font>
      <b val="true"/>
      <sz val="12"/>
      <color theme="9"/>
      <name val="Calibri"/>
      <family val="2"/>
      <charset val="1"/>
    </font>
    <font>
      <sz val="11"/>
      <color rgb="FF242424"/>
      <name val="Aptos Narrow"/>
      <family val="0"/>
      <charset val="1"/>
    </font>
    <font>
      <b val="true"/>
      <sz val="12"/>
      <color theme="1" tint="0.4999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b val="true"/>
      <sz val="12"/>
      <color rgb="FF225A40"/>
      <name val="Raleway"/>
      <family val="0"/>
      <charset val="1"/>
    </font>
    <font>
      <b val="true"/>
      <sz val="10"/>
      <color theme="1"/>
      <name val="Raleway"/>
      <family val="0"/>
      <charset val="1"/>
    </font>
    <font>
      <sz val="10"/>
      <color theme="1"/>
      <name val="Raleway"/>
      <family val="0"/>
      <charset val="1"/>
    </font>
    <font>
      <b val="true"/>
      <sz val="9"/>
      <color theme="1"/>
      <name val="Raleway"/>
      <family val="0"/>
      <charset val="1"/>
    </font>
    <font>
      <sz val="9"/>
      <color theme="1"/>
      <name val="Raleway"/>
      <family val="0"/>
      <charset val="1"/>
    </font>
    <font>
      <b val="true"/>
      <i val="true"/>
      <sz val="8"/>
      <color theme="1"/>
      <name val="Raleway"/>
      <family val="0"/>
      <charset val="1"/>
    </font>
    <font>
      <sz val="12"/>
      <color theme="1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sz val="12"/>
      <color rgb="FF00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EAEAEA"/>
        <bgColor rgb="FFF2F2F2"/>
      </patternFill>
    </fill>
    <fill>
      <patternFill patternType="solid">
        <fgColor rgb="FFF58529"/>
        <bgColor rgb="FFED7D31"/>
      </patternFill>
    </fill>
    <fill>
      <patternFill patternType="solid">
        <fgColor theme="5" tint="0.5999"/>
        <bgColor rgb="FFFFE699"/>
      </patternFill>
    </fill>
    <fill>
      <patternFill patternType="solid">
        <fgColor rgb="FFFFC700"/>
        <bgColor rgb="FFFFC000"/>
      </patternFill>
    </fill>
    <fill>
      <patternFill patternType="solid">
        <fgColor theme="7" tint="0.7999"/>
        <bgColor rgb="FFFBE5D6"/>
      </patternFill>
    </fill>
    <fill>
      <patternFill patternType="solid">
        <fgColor theme="9"/>
        <bgColor rgb="FF548235"/>
      </patternFill>
    </fill>
    <fill>
      <patternFill patternType="solid">
        <fgColor theme="9" tint="0.7999"/>
        <bgColor rgb="FFEAEAEA"/>
      </patternFill>
    </fill>
    <fill>
      <patternFill patternType="solid">
        <fgColor theme="2" tint="-0.5"/>
        <bgColor rgb="FF7F7F7F"/>
      </patternFill>
    </fill>
    <fill>
      <patternFill patternType="solid">
        <fgColor theme="0" tint="-0.15"/>
        <bgColor rgb="FFDAE3F3"/>
      </patternFill>
    </fill>
    <fill>
      <patternFill patternType="solid">
        <fgColor rgb="FF1F4E78"/>
        <bgColor rgb="FF225A40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5999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theme="9" tint="0.5999"/>
        <bgColor rgb="FFD9D9D9"/>
      </patternFill>
    </fill>
    <fill>
      <patternFill patternType="solid">
        <fgColor theme="0" tint="-0.25"/>
        <bgColor rgb="FFA9D18E"/>
      </patternFill>
    </fill>
    <fill>
      <patternFill patternType="solid">
        <fgColor theme="0" tint="-0.05"/>
        <bgColor rgb="FFEAEAEA"/>
      </patternFill>
    </fill>
    <fill>
      <patternFill patternType="solid">
        <fgColor theme="4" tint="0.7999"/>
        <bgColor rgb="FFEAEAEA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565759"/>
      </left>
      <right style="thin">
        <color rgb="FF565759"/>
      </right>
      <top style="thin">
        <color rgb="FF565759"/>
      </top>
      <bottom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/>
      <diagonal/>
    </border>
    <border diagonalUp="false" diagonalDown="false">
      <left/>
      <right/>
      <top style="mediumDashed">
        <color theme="5"/>
      </top>
      <bottom style="mediumDashed">
        <color theme="5"/>
      </bottom>
      <diagonal/>
    </border>
    <border diagonalUp="false" diagonalDown="false">
      <left/>
      <right/>
      <top/>
      <bottom style="mediumDashed">
        <color theme="5"/>
      </bottom>
      <diagonal/>
    </border>
    <border diagonalUp="false" diagonalDown="false">
      <left style="mediumDashed">
        <color theme="5"/>
      </left>
      <right/>
      <top style="mediumDashed">
        <color theme="5"/>
      </top>
      <bottom style="mediumDashed">
        <color theme="5"/>
      </bottom>
      <diagonal/>
    </border>
    <border diagonalUp="false" diagonalDown="false">
      <left/>
      <right style="mediumDashed">
        <color theme="5"/>
      </right>
      <top style="mediumDashed">
        <color theme="5"/>
      </top>
      <bottom style="mediumDashed">
        <color theme="5"/>
      </bottom>
      <diagonal/>
    </border>
    <border diagonalUp="false" diagonalDown="false">
      <left style="thin">
        <color theme="7"/>
      </left>
      <right style="thin">
        <color theme="7"/>
      </right>
      <top style="thin">
        <color theme="7"/>
      </top>
      <bottom/>
      <diagonal/>
    </border>
    <border diagonalUp="false" diagonalDown="false">
      <left/>
      <right/>
      <top style="mediumDashed">
        <color theme="7"/>
      </top>
      <bottom style="mediumDashed">
        <color theme="7"/>
      </bottom>
      <diagonal/>
    </border>
    <border diagonalUp="false" diagonalDown="false">
      <left/>
      <right/>
      <top/>
      <bottom style="mediumDashed">
        <color theme="7"/>
      </bottom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/>
      <diagonal/>
    </border>
    <border diagonalUp="false" diagonalDown="false">
      <left/>
      <right/>
      <top style="mediumDashed">
        <color theme="9" tint="0.3999"/>
      </top>
      <bottom style="mediumDashed">
        <color theme="9" tint="0.3999"/>
      </bottom>
      <diagonal/>
    </border>
    <border diagonalUp="false" diagonalDown="false">
      <left/>
      <right/>
      <top style="mediumDashed">
        <color theme="9" tint="0.3999"/>
      </top>
      <bottom/>
      <diagonal/>
    </border>
    <border diagonalUp="false" diagonalDown="false">
      <left style="thin">
        <color theme="2" tint="-0.5"/>
      </left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thin">
        <color theme="5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7"/>
      </left>
      <right/>
      <top style="thin">
        <color theme="7"/>
      </top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9"/>
      </left>
      <right/>
      <top style="thin">
        <color theme="9"/>
      </top>
      <bottom/>
      <diagonal/>
    </border>
    <border diagonalUp="false" diagonalDown="false">
      <left style="thin">
        <color theme="2" tint="-0.5"/>
      </left>
      <right/>
      <top style="thin">
        <color theme="2" tint="-0.5"/>
      </top>
      <bottom style="thin">
        <color theme="2" tint="-0.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9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9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border diagonalUp="false" diagonalDown="false">
        <left style="thin">
          <color theme="0" tint="-0.25"/>
        </left>
        <right style="thin">
          <color theme="0" tint="-0.25"/>
        </right>
        <top style="thin">
          <color theme="0" tint="-0.25"/>
        </top>
        <bottom style="thin">
          <color theme="0" tint="-0.25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C5E0B4"/>
      <rgbColor rgb="FFF4B183"/>
      <rgbColor rgb="FFEAEAEA"/>
      <rgbColor rgb="FFF8CBAD"/>
      <rgbColor rgb="FF3366FF"/>
      <rgbColor rgb="FF33CCCC"/>
      <rgbColor rgb="FFA9D18E"/>
      <rgbColor rgb="FFFFC700"/>
      <rgbColor rgb="FFF58529"/>
      <rgbColor rgb="FFED7D31"/>
      <rgbColor rgb="FF767171"/>
      <rgbColor rgb="FF70AD47"/>
      <rgbColor rgb="FF225A40"/>
      <rgbColor rgb="FF339966"/>
      <rgbColor rgb="FF003300"/>
      <rgbColor rgb="FF565759"/>
      <rgbColor rgb="FFC55A11"/>
      <rgbColor rgb="FF993366"/>
      <rgbColor rgb="FF1F4E78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G9" activeCellId="0" sqref="G9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23"/>
    <col collapsed="false" customWidth="true" hidden="false" outlineLevel="0" max="3" min="3" style="1" width="19.33"/>
    <col collapsed="false" customWidth="true" hidden="false" outlineLevel="0" max="4" min="4" style="1" width="23.5"/>
    <col collapsed="false" customWidth="true" hidden="false" outlineLevel="0" max="5" min="5" style="1" width="30"/>
    <col collapsed="false" customWidth="true" hidden="false" outlineLevel="0" max="12" min="6" style="1" width="19.33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4.75" hidden="false" customHeight="true" outlineLevel="0" collapsed="false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6.5" hidden="false" customHeight="true" outlineLevel="0" collapsed="false">
      <c r="A4" s="5"/>
      <c r="B4" s="5"/>
      <c r="C4" s="6"/>
      <c r="D4" s="6"/>
      <c r="E4" s="6" t="s">
        <v>14</v>
      </c>
      <c r="F4" s="5"/>
      <c r="G4" s="5"/>
      <c r="H4" s="5"/>
      <c r="I4" s="5"/>
      <c r="J4" s="5"/>
      <c r="K4" s="5"/>
      <c r="L4" s="5"/>
    </row>
    <row r="5" customFormat="false" ht="30" hidden="false" customHeight="true" outlineLevel="0" collapsed="false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48.75" hidden="false" customHeight="true" outlineLevel="0" collapsed="false">
      <c r="A6" s="7"/>
      <c r="B6" s="8"/>
      <c r="C6" s="9" t="s">
        <v>16</v>
      </c>
      <c r="D6" s="10"/>
      <c r="E6" s="10" t="s">
        <v>17</v>
      </c>
      <c r="F6" s="7"/>
      <c r="G6" s="9" t="s">
        <v>18</v>
      </c>
      <c r="H6" s="10" t="s">
        <v>19</v>
      </c>
      <c r="I6" s="5"/>
      <c r="J6" s="5"/>
      <c r="K6" s="5"/>
      <c r="L6" s="5"/>
    </row>
    <row r="7" customFormat="false" ht="30" hidden="false" customHeight="true" outlineLevel="0" collapsed="false">
      <c r="A7" s="4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39" hidden="false" customHeight="true" outlineLevel="0" collapsed="false">
      <c r="A8" s="5"/>
      <c r="B8" s="6"/>
      <c r="C8" s="6"/>
      <c r="D8" s="6" t="s">
        <v>21</v>
      </c>
      <c r="F8" s="5"/>
      <c r="G8" s="5"/>
      <c r="H8" s="5"/>
      <c r="I8" s="6" t="s">
        <v>22</v>
      </c>
      <c r="J8" s="5"/>
      <c r="K8" s="5"/>
      <c r="L8" s="5"/>
    </row>
    <row r="9" customFormat="false" ht="61.5" hidden="false" customHeight="true" outlineLevel="0" collapsed="false">
      <c r="A9" s="5"/>
      <c r="B9" s="10"/>
      <c r="C9" s="10"/>
      <c r="D9" s="10" t="s">
        <v>23</v>
      </c>
      <c r="F9" s="5"/>
      <c r="G9" s="5"/>
      <c r="H9" s="5"/>
      <c r="I9" s="5"/>
      <c r="J9" s="10" t="s">
        <v>24</v>
      </c>
      <c r="K9" s="5"/>
      <c r="L9" s="5"/>
    </row>
    <row r="10" customFormat="false" ht="46.5" hidden="false" customHeight="true" outlineLevel="0" collapsed="false">
      <c r="A10" s="5"/>
      <c r="B10" s="5"/>
      <c r="C10" s="10"/>
      <c r="D10" s="10"/>
      <c r="E10" s="10" t="s">
        <v>25</v>
      </c>
      <c r="F10" s="5"/>
      <c r="G10" s="5"/>
      <c r="H10" s="5"/>
      <c r="I10" s="5"/>
      <c r="J10" s="5"/>
      <c r="K10" s="5"/>
      <c r="L10" s="5"/>
    </row>
    <row r="11" customFormat="false" ht="15" hidden="false" customHeight="true" outlineLevel="0" collapsed="false">
      <c r="A11" s="5"/>
      <c r="B11" s="5"/>
      <c r="C11" s="5"/>
      <c r="F11" s="5"/>
      <c r="G11" s="5"/>
      <c r="H11" s="5"/>
      <c r="I11" s="5"/>
      <c r="J11" s="5"/>
      <c r="K11" s="5"/>
      <c r="L11" s="5"/>
    </row>
    <row r="12" customFormat="false" ht="15" hidden="false" customHeight="true" outlineLevel="0" collapsed="false">
      <c r="A12" s="5"/>
      <c r="B12" s="5"/>
      <c r="C12" s="5"/>
      <c r="F12" s="5"/>
      <c r="G12" s="5"/>
      <c r="H12" s="5"/>
      <c r="I12" s="5"/>
      <c r="J12" s="5"/>
      <c r="K12" s="5"/>
      <c r="L12" s="5"/>
    </row>
    <row r="13" customFormat="false" ht="15" hidden="false" customHeight="true" outlineLevel="0" collapsed="false">
      <c r="A13" s="5"/>
      <c r="B13" s="5"/>
      <c r="C13" s="5"/>
      <c r="F13" s="5"/>
      <c r="G13" s="5"/>
      <c r="H13" s="5"/>
      <c r="I13" s="5"/>
      <c r="J13" s="5"/>
      <c r="K13" s="5"/>
      <c r="L13" s="5"/>
    </row>
    <row r="14" customFormat="false" ht="24.75" hidden="false" customHeight="true" outlineLevel="0" collapsed="false">
      <c r="A14" s="11" t="s">
        <v>26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0.5" hidden="false" customHeight="true" outlineLevel="0" collapsed="false">
      <c r="A15" s="12" t="s">
        <v>27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48" hidden="false" customHeight="true" outlineLevel="0" collapsed="false">
      <c r="A16" s="13" t="s">
        <v>28</v>
      </c>
      <c r="B16" s="13"/>
      <c r="C16" s="13"/>
      <c r="D16" s="13"/>
      <c r="E16" s="13"/>
      <c r="F16" s="13"/>
      <c r="G16" s="13"/>
      <c r="H16" s="13"/>
      <c r="I16" s="13"/>
      <c r="J16" s="13" t="s">
        <v>29</v>
      </c>
      <c r="K16" s="14"/>
      <c r="L16" s="14"/>
    </row>
    <row r="17" customFormat="false" ht="49.5" hidden="false" customHeight="true" outlineLevel="0" collapsed="false">
      <c r="A17" s="13"/>
      <c r="B17" s="13"/>
      <c r="C17" s="13" t="s">
        <v>30</v>
      </c>
      <c r="H17" s="5"/>
      <c r="I17" s="5"/>
      <c r="J17" s="13"/>
      <c r="K17" s="15"/>
      <c r="L17" s="15" t="s">
        <v>31</v>
      </c>
    </row>
    <row r="18" customFormat="false" ht="49.5" hidden="false" customHeight="true" outlineLevel="0" collapsed="false">
      <c r="A18" s="5"/>
      <c r="B18" s="16"/>
      <c r="C18" s="16"/>
      <c r="D18" s="13" t="s">
        <v>32</v>
      </c>
      <c r="H18" s="5"/>
      <c r="I18" s="5"/>
      <c r="J18" s="16"/>
      <c r="K18" s="16"/>
      <c r="L18" s="16"/>
    </row>
    <row r="19" customFormat="false" ht="49.5" hidden="false" customHeight="true" outlineLevel="0" collapsed="false">
      <c r="A19" s="5"/>
      <c r="B19" s="5"/>
      <c r="C19" s="5"/>
      <c r="D19" s="5"/>
      <c r="E19" s="15"/>
      <c r="F19" s="15"/>
      <c r="G19" s="15" t="s">
        <v>33</v>
      </c>
      <c r="H19" s="5"/>
      <c r="I19" s="5"/>
      <c r="J19" s="5"/>
      <c r="K19" s="5"/>
      <c r="L19" s="5"/>
    </row>
    <row r="20" customFormat="false" ht="24.75" hidden="false" customHeight="true" outlineLevel="0" collapsed="false">
      <c r="A20" s="17" t="s">
        <v>34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49.5" hidden="false" customHeight="true" outlineLevel="0" collapsed="false">
      <c r="A21" s="16"/>
      <c r="B21" s="16" t="s">
        <v>35</v>
      </c>
      <c r="C21" s="5"/>
      <c r="D21" s="18"/>
      <c r="E21" s="16" t="s">
        <v>36</v>
      </c>
      <c r="F21" s="5"/>
      <c r="G21" s="5"/>
      <c r="H21" s="5"/>
      <c r="I21" s="5"/>
      <c r="J21" s="16"/>
      <c r="K21" s="16"/>
      <c r="L21" s="16" t="s">
        <v>37</v>
      </c>
    </row>
    <row r="22" customFormat="false" ht="49.5" hidden="false" customHeight="true" outlineLevel="0" collapsed="false">
      <c r="A22" s="16" t="s">
        <v>38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16"/>
    </row>
    <row r="23" customFormat="false" ht="4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6"/>
      <c r="K23" s="16"/>
      <c r="L23" s="16" t="s">
        <v>39</v>
      </c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24.75" hidden="false" customHeight="true" outlineLevel="0" collapsed="false">
      <c r="A25" s="19" t="s">
        <v>40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customFormat="false" ht="24.75" hidden="false" customHeight="true" outlineLevel="0" collapsed="false">
      <c r="A26" s="20" t="s">
        <v>41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O26" s="21" t="s">
        <v>42</v>
      </c>
    </row>
    <row r="27" customFormat="false" ht="49.5" hidden="false" customHeight="true" outlineLevel="0" collapsed="false">
      <c r="A27" s="5"/>
      <c r="B27" s="22"/>
      <c r="C27" s="22"/>
      <c r="D27" s="22" t="s">
        <v>43</v>
      </c>
      <c r="E27" s="5"/>
      <c r="F27" s="5"/>
      <c r="G27" s="5"/>
      <c r="H27" s="5"/>
      <c r="I27" s="5"/>
      <c r="J27" s="5"/>
      <c r="K27" s="5"/>
      <c r="L27" s="5"/>
    </row>
    <row r="28" customFormat="false" ht="24.75" hidden="false" customHeight="true" outlineLevel="0" collapsed="false">
      <c r="A28" s="20" t="s">
        <v>44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24.75" hidden="false" customHeight="true" outlineLevel="0" collapsed="false">
      <c r="A29" s="23" t="s">
        <v>45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customFormat="false" ht="24.75" hidden="false" customHeight="true" outlineLevel="0" collapsed="false">
      <c r="A30" s="23" t="s">
        <v>46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customFormat="false" ht="24.75" hidden="false" customHeight="true" outlineLevel="0" collapsed="false">
      <c r="A31" s="5"/>
      <c r="B31" s="24"/>
      <c r="C31" s="24"/>
      <c r="D31" s="5"/>
      <c r="E31" s="5"/>
      <c r="F31" s="5"/>
      <c r="G31" s="5"/>
      <c r="J31" s="5"/>
      <c r="K31" s="5"/>
      <c r="L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24.75" hidden="false" customHeight="true" outlineLevel="0" collapsed="false">
      <c r="A33" s="25" t="s">
        <v>47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24.75" hidden="false" customHeight="true" outlineLevel="0" collapsed="false">
      <c r="A34" s="26" t="s">
        <v>48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customFormat="false" ht="24.75" hidden="false" customHeight="true" outlineLevel="0" collapsed="false">
      <c r="A35" s="26" t="s">
        <v>49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customFormat="false" ht="24.75" hidden="false" customHeight="true" outlineLevel="0" collapsed="false">
      <c r="A36" s="26" t="s">
        <v>50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customFormat="false" ht="24.75" hidden="false" customHeight="true" outlineLevel="0" collapsed="false">
      <c r="A37" s="26" t="s">
        <v>51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31.5" hidden="false" customHeight="true" outlineLevel="0" collapsed="false">
      <c r="A38" s="27" t="s">
        <v>52</v>
      </c>
      <c r="C38" s="5"/>
      <c r="D38" s="27"/>
      <c r="E38" s="27" t="s">
        <v>52</v>
      </c>
      <c r="F38" s="5"/>
      <c r="G38" s="5"/>
      <c r="H38" s="27"/>
      <c r="I38" s="27" t="s">
        <v>52</v>
      </c>
      <c r="L38" s="27"/>
    </row>
    <row r="39" customFormat="false" ht="24.75" hidden="false" customHeight="true" outlineLevel="0" collapsed="false">
      <c r="C39" s="28"/>
      <c r="D39" s="28"/>
      <c r="E39" s="27" t="s">
        <v>53</v>
      </c>
      <c r="F39" s="28"/>
      <c r="G39" s="28"/>
      <c r="H39" s="27" t="s">
        <v>54</v>
      </c>
      <c r="I39" s="5"/>
      <c r="L39" s="5"/>
    </row>
    <row r="40" customFormat="false" ht="24.75" hidden="false" customHeight="true" outlineLevel="0" collapsed="false">
      <c r="A40" s="26" t="s">
        <v>55</v>
      </c>
      <c r="B40" s="26"/>
      <c r="C40" s="5"/>
      <c r="D40" s="5"/>
      <c r="E40" s="5"/>
      <c r="F40" s="5"/>
      <c r="G40" s="5"/>
      <c r="H40" s="5"/>
      <c r="I40" s="5"/>
      <c r="J40" s="28"/>
      <c r="K40" s="28"/>
      <c r="L40" s="28" t="s">
        <v>56</v>
      </c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6" customFormat="false" ht="15.75" hidden="false" customHeight="true" outlineLevel="0" collapsed="false">
      <c r="A46" s="1" t="str">
        <f aca="false">A2</f>
        <v>Auditoría</v>
      </c>
    </row>
    <row r="47" customFormat="false" ht="15.75" hidden="false" customHeight="true" outlineLevel="0" collapsed="false">
      <c r="A47" s="1" t="str">
        <f aca="false">A14</f>
        <v>Contabilidad - Fiscal</v>
      </c>
    </row>
    <row r="48" customFormat="false" ht="15.75" hidden="false" customHeight="true" outlineLevel="0" collapsed="false">
      <c r="A48" s="1" t="str">
        <f aca="false">A25</f>
        <v>Corporativo - Mercantil</v>
      </c>
    </row>
    <row r="49" customFormat="false" ht="15.75" hidden="false" customHeight="true" outlineLevel="0" collapsed="false">
      <c r="A49" s="1" t="str">
        <f aca="false">A33</f>
        <v>Laboral-Nóminas</v>
      </c>
    </row>
  </sheetData>
  <mergeCells count="19">
    <mergeCell ref="A2:L2"/>
    <mergeCell ref="A3:L3"/>
    <mergeCell ref="A5:L5"/>
    <mergeCell ref="A7:L7"/>
    <mergeCell ref="A14:L14"/>
    <mergeCell ref="A15:L15"/>
    <mergeCell ref="A16:I16"/>
    <mergeCell ref="A20:L20"/>
    <mergeCell ref="A25:L25"/>
    <mergeCell ref="A26:L26"/>
    <mergeCell ref="A28:L28"/>
    <mergeCell ref="A29:L29"/>
    <mergeCell ref="A30:L30"/>
    <mergeCell ref="A33:L33"/>
    <mergeCell ref="A34:L34"/>
    <mergeCell ref="A35:L35"/>
    <mergeCell ref="A36:L36"/>
    <mergeCell ref="A37:L37"/>
    <mergeCell ref="A40:B40"/>
  </mergeCells>
  <conditionalFormatting sqref="A33:A34">
    <cfRule type="expression" priority="2" aboveAverage="0" equalAverage="0" bottom="0" percent="0" rank="0" text="" dxfId="0">
      <formula>#ref!&lt;&gt;""</formula>
    </cfRule>
  </conditionalFormatting>
  <conditionalFormatting sqref="A25">
    <cfRule type="expression" priority="3" aboveAverage="0" equalAverage="0" bottom="0" percent="0" rank="0" text="" dxfId="0">
      <formula>#ref!&lt;&gt;""</formula>
    </cfRule>
  </conditionalFormatting>
  <conditionalFormatting sqref="A14:A16">
    <cfRule type="expression" priority="4" aboveAverage="0" equalAverage="0" bottom="0" percent="0" rank="0" text="" dxfId="0">
      <formula>#ref!&lt;&gt;""</formula>
    </cfRule>
  </conditionalFormatting>
  <conditionalFormatting sqref="A2:A3">
    <cfRule type="expression" priority="5" aboveAverage="0" equalAverage="0" bottom="0" percent="0" rank="0" text="" dxfId="0">
      <formula>#ref!&lt;&gt;""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30"/>
    <col collapsed="false" customWidth="true" hidden="false" outlineLevel="0" max="2" min="2" style="21" width="45"/>
    <col collapsed="false" customWidth="true" hidden="false" outlineLevel="0" max="5" min="3" style="21" width="16"/>
    <col collapsed="false" customWidth="true" hidden="false" outlineLevel="0" max="6" min="6" style="21" width="50"/>
  </cols>
  <sheetData>
    <row r="1" customFormat="false" ht="24.75" hidden="false" customHeight="true" outlineLevel="0" collapsed="false">
      <c r="A1" s="29" t="s">
        <v>57</v>
      </c>
      <c r="B1" s="29" t="s">
        <v>58</v>
      </c>
      <c r="C1" s="29" t="s">
        <v>59</v>
      </c>
      <c r="D1" s="29" t="s">
        <v>60</v>
      </c>
      <c r="E1" s="29" t="s">
        <v>61</v>
      </c>
      <c r="F1" s="29" t="s">
        <v>62</v>
      </c>
    </row>
    <row r="2" customFormat="false" ht="15" hidden="false" customHeight="true" outlineLevel="0" collapsed="false">
      <c r="A2" s="30" t="s">
        <v>13</v>
      </c>
      <c r="B2" s="30" t="s">
        <v>63</v>
      </c>
      <c r="C2" s="31" t="n">
        <v>46063</v>
      </c>
      <c r="D2" s="31" t="n">
        <v>46106</v>
      </c>
      <c r="E2" s="32" t="n">
        <f aca="false">IF(AND(NOT(ISERROR(C2)),NOT(ISERROR(D2))),D2-C2,"")</f>
        <v>43</v>
      </c>
      <c r="F2" s="30" t="s">
        <v>64</v>
      </c>
    </row>
    <row r="3" customFormat="false" ht="15" hidden="false" customHeight="true" outlineLevel="0" collapsed="false">
      <c r="A3" s="30"/>
      <c r="B3" s="30" t="s">
        <v>65</v>
      </c>
      <c r="C3" s="31" t="n">
        <v>46279</v>
      </c>
      <c r="D3" s="31" t="n">
        <v>46329</v>
      </c>
      <c r="E3" s="32" t="n">
        <f aca="false">IF(AND(NOT(ISERROR(C3)),NOT(ISERROR(D3))),D3-C3,"")</f>
        <v>50</v>
      </c>
      <c r="F3" s="30"/>
    </row>
    <row r="4" customFormat="false" ht="57" hidden="false" customHeight="true" outlineLevel="0" collapsed="false">
      <c r="A4" s="30"/>
      <c r="B4" s="30" t="s">
        <v>66</v>
      </c>
      <c r="C4" s="31" t="n">
        <v>46144</v>
      </c>
      <c r="D4" s="31" t="n">
        <v>46203</v>
      </c>
      <c r="E4" s="32" t="n">
        <f aca="false">IF(AND(NOT(ISERROR(C4)),NOT(ISERROR(D4))),D4-C4,"")</f>
        <v>59</v>
      </c>
      <c r="F4" s="30" t="s">
        <v>67</v>
      </c>
    </row>
    <row r="5" customFormat="false" ht="34.5" hidden="false" customHeight="true" outlineLevel="0" collapsed="false">
      <c r="A5" s="30" t="s">
        <v>15</v>
      </c>
      <c r="B5" s="30" t="s">
        <v>68</v>
      </c>
      <c r="C5" s="31" t="n">
        <v>46069</v>
      </c>
      <c r="D5" s="31" t="n">
        <v>46094</v>
      </c>
      <c r="E5" s="32" t="n">
        <f aca="false">IF(AND(NOT(ISERROR(C5)),NOT(ISERROR(D5))),D5-C5,"")</f>
        <v>25</v>
      </c>
      <c r="F5" s="30" t="s">
        <v>69</v>
      </c>
    </row>
    <row r="6" customFormat="false" ht="34.5" hidden="false" customHeight="true" outlineLevel="0" collapsed="false">
      <c r="A6" s="30"/>
      <c r="B6" s="30" t="s">
        <v>70</v>
      </c>
      <c r="C6" s="31" t="n">
        <v>46111</v>
      </c>
      <c r="D6" s="31" t="n">
        <v>46183</v>
      </c>
      <c r="E6" s="32" t="n">
        <f aca="false">IF(AND(NOT(ISERROR(C6)),NOT(ISERROR(D6))),D6-C6,"")</f>
        <v>72</v>
      </c>
      <c r="F6" s="30" t="s">
        <v>71</v>
      </c>
    </row>
    <row r="7" customFormat="false" ht="15" hidden="false" customHeight="true" outlineLevel="0" collapsed="false">
      <c r="A7" s="30"/>
      <c r="B7" s="30" t="s">
        <v>72</v>
      </c>
      <c r="C7" s="31" t="n">
        <v>46286</v>
      </c>
      <c r="D7" s="31" t="n">
        <v>46336</v>
      </c>
      <c r="E7" s="32" t="n">
        <f aca="false">IF(AND(NOT(ISERROR(C7)),NOT(ISERROR(D7))),D7-C7,"")</f>
        <v>50</v>
      </c>
      <c r="F7" s="30"/>
    </row>
    <row r="8" customFormat="false" ht="23.25" hidden="false" customHeight="true" outlineLevel="0" collapsed="false">
      <c r="A8" s="30" t="s">
        <v>20</v>
      </c>
      <c r="B8" s="30" t="s">
        <v>73</v>
      </c>
      <c r="C8" s="31" t="n">
        <v>46068</v>
      </c>
      <c r="D8" s="31" t="n">
        <v>46094</v>
      </c>
      <c r="E8" s="32" t="n">
        <f aca="false">IF(AND(NOT(ISERROR(C8)),NOT(ISERROR(D8))),D8-C8,"")</f>
        <v>26</v>
      </c>
      <c r="F8" s="30" t="s">
        <v>74</v>
      </c>
    </row>
    <row r="9" customFormat="false" ht="15" hidden="false" customHeight="true" outlineLevel="0" collapsed="false">
      <c r="A9" s="30"/>
      <c r="B9" s="30" t="s">
        <v>20</v>
      </c>
      <c r="C9" s="31" t="n">
        <v>46293</v>
      </c>
      <c r="D9" s="31" t="n">
        <v>46343</v>
      </c>
      <c r="E9" s="32" t="n">
        <f aca="false">IF(AND(NOT(ISERROR(C9)),NOT(ISERROR(D9))),D9-C9,"")</f>
        <v>50</v>
      </c>
      <c r="F9" s="30"/>
    </row>
    <row r="10" customFormat="false" ht="23.25" hidden="false" customHeight="true" outlineLevel="0" collapsed="false">
      <c r="A10" s="30" t="s">
        <v>75</v>
      </c>
      <c r="B10" s="30" t="s">
        <v>76</v>
      </c>
      <c r="C10" s="31" t="n">
        <v>46069</v>
      </c>
      <c r="D10" s="31" t="n">
        <v>46112</v>
      </c>
      <c r="E10" s="32" t="n">
        <f aca="false">IF(AND(NOT(ISERROR(C10)),NOT(ISERROR(D10))),D10-C10,"")</f>
        <v>43</v>
      </c>
      <c r="F10" s="30" t="s">
        <v>77</v>
      </c>
    </row>
    <row r="11" customFormat="false" ht="45.75" hidden="false" customHeight="true" outlineLevel="0" collapsed="false">
      <c r="A11" s="30" t="s">
        <v>78</v>
      </c>
      <c r="B11" s="30" t="s">
        <v>79</v>
      </c>
      <c r="C11" s="31" t="n">
        <v>46090</v>
      </c>
      <c r="D11" s="31" t="n">
        <v>46157</v>
      </c>
      <c r="E11" s="32" t="n">
        <f aca="false">IF(AND(NOT(ISERROR(C11)),NOT(ISERROR(D11))),D11-C11,"")</f>
        <v>67</v>
      </c>
      <c r="F11" s="30" t="s">
        <v>80</v>
      </c>
    </row>
    <row r="12" customFormat="false" ht="34.5" hidden="false" customHeight="true" outlineLevel="0" collapsed="false">
      <c r="A12" s="30" t="s">
        <v>26</v>
      </c>
      <c r="B12" s="30"/>
      <c r="C12" s="31" t="s">
        <v>81</v>
      </c>
      <c r="D12" s="31" t="s">
        <v>82</v>
      </c>
      <c r="E12" s="32"/>
      <c r="F12" s="30"/>
    </row>
    <row r="13" customFormat="false" ht="57" hidden="false" customHeight="true" outlineLevel="0" collapsed="false">
      <c r="A13" s="30" t="s">
        <v>83</v>
      </c>
      <c r="B13" s="30" t="s">
        <v>84</v>
      </c>
      <c r="C13" s="31" t="n">
        <v>46069</v>
      </c>
      <c r="D13" s="31" t="n">
        <v>46112</v>
      </c>
      <c r="E13" s="32" t="n">
        <f aca="false">IF(AND(NOT(ISERROR(C13)),NOT(ISERROR(D13))),D13-C13,"")</f>
        <v>43</v>
      </c>
      <c r="F13" s="30" t="s">
        <v>85</v>
      </c>
    </row>
    <row r="14" customFormat="false" ht="15" hidden="false" customHeight="true" outlineLevel="0" collapsed="false">
      <c r="A14" s="30"/>
      <c r="B14" s="30"/>
      <c r="C14" s="31" t="n">
        <v>46157</v>
      </c>
      <c r="D14" s="31" t="n">
        <v>46279</v>
      </c>
      <c r="E14" s="32" t="n">
        <f aca="false">IF(AND(NOT(ISERROR(C14)),NOT(ISERROR(D14))),D14-C14,"")</f>
        <v>122</v>
      </c>
      <c r="F14" s="30"/>
    </row>
    <row r="15" customFormat="false" ht="23.25" hidden="false" customHeight="true" outlineLevel="0" collapsed="false">
      <c r="A15" s="30"/>
      <c r="B15" s="30" t="s">
        <v>86</v>
      </c>
      <c r="C15" s="31" t="n">
        <v>46098</v>
      </c>
      <c r="D15" s="31" t="n">
        <v>46356</v>
      </c>
      <c r="E15" s="32" t="n">
        <f aca="false">IF(AND(NOT(ISERROR(C15)),NOT(ISERROR(D15))),D15-C15,"")</f>
        <v>258</v>
      </c>
      <c r="F15" s="30" t="s">
        <v>87</v>
      </c>
    </row>
    <row r="16" customFormat="false" ht="34.5" hidden="false" customHeight="true" outlineLevel="0" collapsed="false">
      <c r="A16" s="30" t="s">
        <v>88</v>
      </c>
      <c r="B16" s="30" t="s">
        <v>89</v>
      </c>
      <c r="C16" s="31" t="n">
        <v>46098</v>
      </c>
      <c r="D16" s="31" t="n">
        <v>46142</v>
      </c>
      <c r="E16" s="32" t="n">
        <f aca="false">IF(AND(NOT(ISERROR(C16)),NOT(ISERROR(D16))),D16-C16,"")</f>
        <v>44</v>
      </c>
      <c r="F16" s="30" t="s">
        <v>90</v>
      </c>
    </row>
    <row r="17" customFormat="false" ht="15" hidden="false" customHeight="true" outlineLevel="0" collapsed="false">
      <c r="A17" s="30"/>
      <c r="B17" s="30"/>
      <c r="C17" s="31" t="n">
        <v>46249</v>
      </c>
      <c r="D17" s="31" t="n">
        <v>46310</v>
      </c>
      <c r="E17" s="32" t="n">
        <f aca="false">IF(AND(NOT(ISERROR(C17)),NOT(ISERROR(D17))),D17-C17,"")</f>
        <v>61</v>
      </c>
      <c r="F17" s="30"/>
    </row>
    <row r="18" customFormat="false" ht="23.25" hidden="false" customHeight="true" outlineLevel="0" collapsed="false">
      <c r="A18" s="30" t="s">
        <v>91</v>
      </c>
      <c r="B18" s="30" t="s">
        <v>92</v>
      </c>
      <c r="C18" s="31" t="n">
        <v>46357</v>
      </c>
      <c r="D18" s="31" t="n">
        <v>46418</v>
      </c>
      <c r="E18" s="32" t="n">
        <f aca="false">IF(AND(NOT(ISERROR(C18)),NOT(ISERROR(D18))),D18-C18,"")</f>
        <v>61</v>
      </c>
      <c r="F18" s="30"/>
    </row>
    <row r="19" customFormat="false" ht="15" hidden="false" customHeight="true" outlineLevel="0" collapsed="false">
      <c r="A19" s="30" t="s">
        <v>93</v>
      </c>
      <c r="B19" s="30"/>
      <c r="C19" s="31" t="n">
        <v>46279</v>
      </c>
      <c r="D19" s="31" t="n">
        <v>46341</v>
      </c>
      <c r="E19" s="32" t="n">
        <f aca="false">IF(AND(NOT(ISERROR(C19)),NOT(ISERROR(D19))),D19-C19,"")</f>
        <v>62</v>
      </c>
      <c r="F19" s="30"/>
    </row>
    <row r="20" customFormat="false" ht="45.75" hidden="false" customHeight="true" outlineLevel="0" collapsed="false">
      <c r="A20" s="30" t="s">
        <v>94</v>
      </c>
      <c r="B20" s="30"/>
      <c r="C20" s="31" t="n">
        <v>46127</v>
      </c>
      <c r="D20" s="31" t="n">
        <v>46188</v>
      </c>
      <c r="E20" s="32" t="n">
        <f aca="false">IF(AND(NOT(ISERROR(C20)),NOT(ISERROR(D20))),D20-C20,"")</f>
        <v>61</v>
      </c>
      <c r="F20" s="30" t="s">
        <v>95</v>
      </c>
    </row>
    <row r="21" customFormat="false" ht="23.25" hidden="false" customHeight="true" outlineLevel="0" collapsed="false">
      <c r="A21" s="30" t="s">
        <v>34</v>
      </c>
      <c r="B21" s="30" t="s">
        <v>96</v>
      </c>
      <c r="C21" s="31" t="n">
        <v>46204</v>
      </c>
      <c r="D21" s="31" t="n">
        <v>46234</v>
      </c>
      <c r="E21" s="32" t="n">
        <f aca="false">IF(AND(NOT(ISERROR(C21)),NOT(ISERROR(D21))),D21-C21,"")</f>
        <v>30</v>
      </c>
      <c r="F21" s="30" t="s">
        <v>97</v>
      </c>
    </row>
    <row r="22" customFormat="false" ht="15" hidden="false" customHeight="true" outlineLevel="0" collapsed="false">
      <c r="A22" s="30"/>
      <c r="B22" s="30" t="s">
        <v>38</v>
      </c>
      <c r="C22" s="31" t="n">
        <v>46330</v>
      </c>
      <c r="D22" s="31" t="n">
        <v>46391</v>
      </c>
      <c r="E22" s="32" t="n">
        <f aca="false">IF(AND(NOT(ISERROR(C22)),NOT(ISERROR(D22))),D22-C22,"")</f>
        <v>61</v>
      </c>
      <c r="F22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50" activeCellId="0" sqref="B50"/>
    </sheetView>
  </sheetViews>
  <sheetFormatPr defaultColWidth="11.5078125" defaultRowHeight="15.75" customHeight="true" zeroHeight="false" outlineLevelRow="0" outlineLevelCol="0"/>
  <cols>
    <col collapsed="false" customWidth="true" hidden="false" outlineLevel="0" max="1" min="1" style="21" width="36.5"/>
    <col collapsed="false" customWidth="true" hidden="false" outlineLevel="0" max="2" min="2" style="21" width="62"/>
    <col collapsed="false" customWidth="true" hidden="true" outlineLevel="0" max="3" min="3" style="21" width="64.83"/>
    <col collapsed="false" customWidth="false" hidden="true" outlineLevel="0" max="4" min="4" style="33" width="11.5"/>
    <col collapsed="false" customWidth="true" hidden="false" outlineLevel="0" max="5" min="5" style="24" width="18.67"/>
    <col collapsed="false" customWidth="true" hidden="false" outlineLevel="0" max="6" min="6" style="24" width="22"/>
    <col collapsed="false" customWidth="true" hidden="false" outlineLevel="0" max="7" min="7" style="24" width="8.67"/>
    <col collapsed="false" customWidth="true" hidden="false" outlineLevel="0" max="8" min="8" style="34" width="10"/>
    <col collapsed="false" customWidth="true" hidden="false" outlineLevel="0" max="11" min="11" style="21" width="24.52"/>
    <col collapsed="false" customWidth="true" hidden="false" outlineLevel="0" max="12" min="12" style="21" width="48.67"/>
  </cols>
  <sheetData>
    <row r="1" customFormat="false" ht="33.75" hidden="false" customHeight="true" outlineLevel="0" collapsed="false">
      <c r="A1" s="35" t="s">
        <v>12</v>
      </c>
      <c r="B1" s="35"/>
      <c r="C1" s="35"/>
      <c r="D1" s="36" t="s">
        <v>98</v>
      </c>
      <c r="E1" s="37" t="s">
        <v>81</v>
      </c>
      <c r="F1" s="37" t="s">
        <v>82</v>
      </c>
      <c r="G1" s="37"/>
      <c r="H1" s="38"/>
      <c r="I1" s="39"/>
      <c r="J1" s="40"/>
      <c r="K1" s="39"/>
      <c r="L1" s="39"/>
      <c r="M1" s="39"/>
      <c r="N1" s="39"/>
    </row>
    <row r="2" customFormat="false" ht="15.75" hidden="false" customHeight="true" outlineLevel="0" collapsed="false">
      <c r="A2" s="41" t="s">
        <v>57</v>
      </c>
      <c r="B2" s="42" t="s">
        <v>99</v>
      </c>
      <c r="C2" s="43" t="s">
        <v>62</v>
      </c>
      <c r="D2" s="44" t="n">
        <f aca="false">SUM(D3:D12)</f>
        <v>0.25</v>
      </c>
      <c r="E2" s="45"/>
      <c r="F2" s="45"/>
      <c r="G2" s="45" t="s">
        <v>100</v>
      </c>
      <c r="H2" s="46" t="s">
        <v>101</v>
      </c>
      <c r="I2" s="46"/>
    </row>
    <row r="3" s="40" customFormat="true" ht="15.75" hidden="false" customHeight="true" outlineLevel="0" collapsed="false">
      <c r="A3" s="47" t="s">
        <v>13</v>
      </c>
      <c r="B3" s="48" t="s">
        <v>63</v>
      </c>
      <c r="C3" s="48" t="s">
        <v>64</v>
      </c>
      <c r="D3" s="49" t="n">
        <v>0.1</v>
      </c>
      <c r="E3" s="50" t="n">
        <v>46063</v>
      </c>
      <c r="F3" s="50" t="n">
        <v>46106</v>
      </c>
      <c r="G3" s="24" t="n">
        <f aca="false">_xlfn.DAYS(E3,"1/1/26")</f>
        <v>40</v>
      </c>
      <c r="H3" s="24" t="n">
        <f aca="false">_xlfn.DAYS(F3,E3)</f>
        <v>43</v>
      </c>
    </row>
    <row r="4" s="40" customFormat="true" ht="15.75" hidden="false" customHeight="true" outlineLevel="0" collapsed="false">
      <c r="A4" s="47"/>
      <c r="B4" s="48" t="s">
        <v>65</v>
      </c>
      <c r="C4" s="51"/>
      <c r="D4" s="49"/>
      <c r="E4" s="50" t="n">
        <v>46279</v>
      </c>
      <c r="F4" s="50" t="n">
        <v>46329</v>
      </c>
      <c r="G4" s="24" t="n">
        <f aca="true">_xlfn.DAYS(E4,TODAY())</f>
        <v>174</v>
      </c>
      <c r="H4" s="24" t="n">
        <f aca="false">_xlfn.DAYS(F4,E4)</f>
        <v>50</v>
      </c>
    </row>
    <row r="5" s="40" customFormat="true" ht="48" hidden="false" customHeight="true" outlineLevel="0" collapsed="false">
      <c r="A5" s="47"/>
      <c r="B5" s="52" t="s">
        <v>66</v>
      </c>
      <c r="C5" s="52" t="s">
        <v>67</v>
      </c>
      <c r="D5" s="49"/>
      <c r="E5" s="50" t="n">
        <v>46144</v>
      </c>
      <c r="F5" s="50" t="n">
        <v>46203</v>
      </c>
      <c r="G5" s="24" t="n">
        <f aca="true">_xlfn.DAYS(E5,TODAY())</f>
        <v>39</v>
      </c>
      <c r="H5" s="24" t="n">
        <f aca="false">_xlfn.DAYS(F5,E5)</f>
        <v>59</v>
      </c>
    </row>
    <row r="6" s="40" customFormat="true" ht="31.5" hidden="false" customHeight="true" outlineLevel="0" collapsed="false">
      <c r="A6" s="53" t="s">
        <v>15</v>
      </c>
      <c r="B6" s="52" t="s">
        <v>68</v>
      </c>
      <c r="C6" s="54" t="s">
        <v>69</v>
      </c>
      <c r="D6" s="55" t="n">
        <v>0.06</v>
      </c>
      <c r="E6" s="50" t="n">
        <v>46069</v>
      </c>
      <c r="F6" s="50" t="n">
        <v>46094</v>
      </c>
      <c r="G6" s="24" t="n">
        <f aca="true">_xlfn.DAYS(E6,TODAY())</f>
        <v>-36</v>
      </c>
      <c r="H6" s="24" t="n">
        <f aca="false">_xlfn.DAYS(F6,E6)</f>
        <v>25</v>
      </c>
      <c r="J6" s="14"/>
    </row>
    <row r="7" s="40" customFormat="true" ht="31.5" hidden="false" customHeight="true" outlineLevel="0" collapsed="false">
      <c r="A7" s="53"/>
      <c r="B7" s="56" t="s">
        <v>70</v>
      </c>
      <c r="C7" s="52" t="s">
        <v>71</v>
      </c>
      <c r="D7" s="55"/>
      <c r="E7" s="50" t="n">
        <v>46111</v>
      </c>
      <c r="F7" s="50" t="n">
        <v>46183</v>
      </c>
      <c r="G7" s="24" t="n">
        <f aca="true">_xlfn.DAYS(E7,TODAY())</f>
        <v>6</v>
      </c>
      <c r="H7" s="24" t="n">
        <f aca="false">_xlfn.DAYS(F7,E7)</f>
        <v>72</v>
      </c>
      <c r="J7" s="14"/>
    </row>
    <row r="8" s="40" customFormat="true" ht="15.75" hidden="false" customHeight="true" outlineLevel="0" collapsed="false">
      <c r="A8" s="53"/>
      <c r="B8" s="56" t="s">
        <v>72</v>
      </c>
      <c r="C8" s="57"/>
      <c r="D8" s="55"/>
      <c r="E8" s="50" t="n">
        <v>46286</v>
      </c>
      <c r="F8" s="50" t="n">
        <v>46336</v>
      </c>
      <c r="G8" s="24" t="n">
        <f aca="true">_xlfn.DAYS(E8,TODAY())</f>
        <v>181</v>
      </c>
      <c r="H8" s="24" t="n">
        <f aca="false">_xlfn.DAYS(F8,E8)</f>
        <v>50</v>
      </c>
      <c r="J8" s="14"/>
    </row>
    <row r="9" s="40" customFormat="true" ht="31.5" hidden="false" customHeight="true" outlineLevel="0" collapsed="false">
      <c r="A9" s="47" t="s">
        <v>20</v>
      </c>
      <c r="B9" s="58" t="s">
        <v>73</v>
      </c>
      <c r="C9" s="57" t="s">
        <v>74</v>
      </c>
      <c r="D9" s="55" t="n">
        <v>0.05</v>
      </c>
      <c r="E9" s="50" t="n">
        <v>46068</v>
      </c>
      <c r="F9" s="50" t="n">
        <v>46094</v>
      </c>
      <c r="G9" s="24" t="n">
        <f aca="true">_xlfn.DAYS(E9,TODAY())</f>
        <v>-37</v>
      </c>
      <c r="H9" s="24" t="n">
        <f aca="false">_xlfn.DAYS(F9,E9)</f>
        <v>26</v>
      </c>
    </row>
    <row r="10" s="40" customFormat="true" ht="15.75" hidden="false" customHeight="true" outlineLevel="0" collapsed="false">
      <c r="A10" s="47"/>
      <c r="B10" s="58" t="s">
        <v>20</v>
      </c>
      <c r="C10" s="57"/>
      <c r="D10" s="55"/>
      <c r="E10" s="50" t="n">
        <v>46293</v>
      </c>
      <c r="F10" s="50" t="n">
        <v>46343</v>
      </c>
      <c r="G10" s="24" t="n">
        <f aca="true">_xlfn.DAYS(E10,TODAY())</f>
        <v>188</v>
      </c>
      <c r="H10" s="24" t="n">
        <f aca="false">_xlfn.DAYS(F10,E10)</f>
        <v>50</v>
      </c>
    </row>
    <row r="11" s="40" customFormat="true" ht="31.5" hidden="false" customHeight="true" outlineLevel="0" collapsed="false">
      <c r="A11" s="58" t="s">
        <v>75</v>
      </c>
      <c r="B11" s="58" t="s">
        <v>76</v>
      </c>
      <c r="C11" s="52" t="s">
        <v>77</v>
      </c>
      <c r="D11" s="59" t="n">
        <v>0.02</v>
      </c>
      <c r="E11" s="50" t="n">
        <v>46069</v>
      </c>
      <c r="F11" s="50" t="n">
        <v>46112</v>
      </c>
      <c r="G11" s="24" t="n">
        <f aca="true">_xlfn.DAYS(E11,TODAY())</f>
        <v>-36</v>
      </c>
      <c r="H11" s="24" t="n">
        <f aca="false">_xlfn.DAYS(F11,E11)</f>
        <v>43</v>
      </c>
    </row>
    <row r="12" s="40" customFormat="true" ht="48" hidden="false" customHeight="true" outlineLevel="0" collapsed="false">
      <c r="A12" s="58" t="s">
        <v>78</v>
      </c>
      <c r="B12" s="58" t="s">
        <v>79</v>
      </c>
      <c r="C12" s="52" t="s">
        <v>80</v>
      </c>
      <c r="D12" s="59" t="n">
        <v>0.02</v>
      </c>
      <c r="E12" s="50" t="n">
        <v>46090</v>
      </c>
      <c r="F12" s="50" t="n">
        <v>46157</v>
      </c>
      <c r="G12" s="24" t="n">
        <f aca="true">_xlfn.DAYS(E12,TODAY())</f>
        <v>-15</v>
      </c>
      <c r="H12" s="24" t="n">
        <f aca="false">_xlfn.DAYS(F12,E12)</f>
        <v>67</v>
      </c>
    </row>
    <row r="14" customFormat="false" ht="33.75" hidden="false" customHeight="true" outlineLevel="0" collapsed="false">
      <c r="A14" s="60" t="s">
        <v>26</v>
      </c>
      <c r="B14" s="60"/>
      <c r="C14" s="60"/>
      <c r="D14" s="61" t="s">
        <v>98</v>
      </c>
      <c r="E14" s="62" t="s">
        <v>81</v>
      </c>
      <c r="F14" s="62" t="s">
        <v>82</v>
      </c>
      <c r="G14" s="62"/>
      <c r="H14" s="63"/>
    </row>
    <row r="15" customFormat="false" ht="15.75" hidden="false" customHeight="true" outlineLevel="0" collapsed="false">
      <c r="A15" s="41" t="s">
        <v>57</v>
      </c>
      <c r="B15" s="42" t="s">
        <v>102</v>
      </c>
      <c r="C15" s="43" t="s">
        <v>62</v>
      </c>
      <c r="D15" s="64" t="n">
        <f aca="false">SUM(D16:D24)</f>
        <v>0.25</v>
      </c>
    </row>
    <row r="16" customFormat="false" ht="35.25" hidden="false" customHeight="true" outlineLevel="0" collapsed="false">
      <c r="A16" s="65" t="s">
        <v>83</v>
      </c>
      <c r="B16" s="66" t="s">
        <v>84</v>
      </c>
      <c r="C16" s="67" t="s">
        <v>85</v>
      </c>
      <c r="D16" s="55" t="n">
        <v>0.06</v>
      </c>
      <c r="E16" s="50" t="n">
        <v>46069</v>
      </c>
      <c r="F16" s="50" t="n">
        <v>46112</v>
      </c>
      <c r="G16" s="50"/>
    </row>
    <row r="17" customFormat="false" ht="33.75" hidden="false" customHeight="true" outlineLevel="0" collapsed="false">
      <c r="A17" s="65"/>
      <c r="B17" s="66"/>
      <c r="C17" s="66"/>
      <c r="D17" s="55"/>
      <c r="E17" s="50" t="n">
        <v>46157</v>
      </c>
      <c r="F17" s="50" t="n">
        <v>46279</v>
      </c>
      <c r="G17" s="50"/>
    </row>
    <row r="18" customFormat="false" ht="48" hidden="false" customHeight="true" outlineLevel="0" collapsed="false">
      <c r="A18" s="65"/>
      <c r="B18" s="68" t="s">
        <v>86</v>
      </c>
      <c r="C18" s="52" t="s">
        <v>87</v>
      </c>
      <c r="D18" s="55"/>
      <c r="E18" s="50" t="n">
        <v>46098</v>
      </c>
      <c r="F18" s="50" t="n">
        <v>46356</v>
      </c>
      <c r="G18" s="50"/>
    </row>
    <row r="19" customFormat="false" ht="18" hidden="false" customHeight="true" outlineLevel="0" collapsed="false">
      <c r="A19" s="65" t="s">
        <v>88</v>
      </c>
      <c r="B19" s="66" t="s">
        <v>89</v>
      </c>
      <c r="C19" s="66" t="s">
        <v>90</v>
      </c>
      <c r="D19" s="55" t="n">
        <v>0.05</v>
      </c>
      <c r="E19" s="50" t="n">
        <v>46098</v>
      </c>
      <c r="F19" s="50" t="n">
        <v>46142</v>
      </c>
      <c r="G19" s="50"/>
    </row>
    <row r="20" customFormat="false" ht="18" hidden="false" customHeight="true" outlineLevel="0" collapsed="false">
      <c r="A20" s="65"/>
      <c r="B20" s="65"/>
      <c r="C20" s="65"/>
      <c r="D20" s="55"/>
      <c r="E20" s="50" t="n">
        <v>46249</v>
      </c>
      <c r="F20" s="50" t="n">
        <v>46310</v>
      </c>
      <c r="G20" s="50"/>
    </row>
    <row r="21" customFormat="false" ht="31.5" hidden="false" customHeight="true" outlineLevel="0" collapsed="false">
      <c r="A21" s="69" t="s">
        <v>91</v>
      </c>
      <c r="B21" s="52" t="s">
        <v>92</v>
      </c>
      <c r="C21" s="52"/>
      <c r="D21" s="59" t="n">
        <v>0.04</v>
      </c>
      <c r="E21" s="50" t="n">
        <v>46357</v>
      </c>
      <c r="F21" s="50" t="n">
        <v>46418</v>
      </c>
      <c r="G21" s="50"/>
    </row>
    <row r="22" customFormat="false" ht="15.75" hidden="false" customHeight="true" outlineLevel="0" collapsed="false">
      <c r="A22" s="70" t="s">
        <v>93</v>
      </c>
      <c r="B22" s="48"/>
      <c r="C22" s="52"/>
      <c r="D22" s="59" t="n">
        <v>0.05</v>
      </c>
      <c r="E22" s="50" t="n">
        <v>46279</v>
      </c>
      <c r="F22" s="50" t="n">
        <v>46341</v>
      </c>
      <c r="G22" s="50"/>
    </row>
    <row r="23" customFormat="false" ht="48" hidden="false" customHeight="true" outlineLevel="0" collapsed="false">
      <c r="A23" s="71" t="s">
        <v>94</v>
      </c>
      <c r="B23" s="58"/>
      <c r="C23" s="52" t="s">
        <v>95</v>
      </c>
      <c r="D23" s="59" t="n">
        <v>0.03</v>
      </c>
      <c r="E23" s="50" t="n">
        <v>46127</v>
      </c>
      <c r="F23" s="50" t="n">
        <v>46188</v>
      </c>
      <c r="G23" s="50"/>
    </row>
    <row r="24" customFormat="false" ht="15.75" hidden="false" customHeight="true" outlineLevel="0" collapsed="false">
      <c r="A24" s="72" t="s">
        <v>34</v>
      </c>
      <c r="B24" s="73" t="s">
        <v>96</v>
      </c>
      <c r="C24" s="74" t="s">
        <v>97</v>
      </c>
      <c r="D24" s="55" t="n">
        <v>0.02</v>
      </c>
      <c r="E24" s="50" t="n">
        <v>46204</v>
      </c>
      <c r="F24" s="50" t="n">
        <v>46234</v>
      </c>
      <c r="G24" s="50"/>
    </row>
    <row r="25" customFormat="false" ht="15.75" hidden="false" customHeight="true" outlineLevel="0" collapsed="false">
      <c r="A25" s="72"/>
      <c r="B25" s="73" t="s">
        <v>38</v>
      </c>
      <c r="C25" s="74"/>
      <c r="D25" s="55"/>
      <c r="E25" s="50" t="n">
        <v>46330</v>
      </c>
      <c r="F25" s="50" t="n">
        <v>46391</v>
      </c>
      <c r="G25" s="50"/>
    </row>
    <row r="26" customFormat="false" ht="15.75" hidden="false" customHeight="true" outlineLevel="0" collapsed="false">
      <c r="A26" s="72"/>
      <c r="B26" s="75" t="s">
        <v>103</v>
      </c>
      <c r="C26" s="76"/>
      <c r="D26" s="55"/>
      <c r="E26" s="50" t="n">
        <v>46076</v>
      </c>
      <c r="F26" s="50" t="n">
        <v>46104</v>
      </c>
      <c r="G26" s="50"/>
    </row>
    <row r="27" customFormat="false" ht="27.75" hidden="false" customHeight="true" outlineLevel="0" collapsed="false">
      <c r="A27" s="72"/>
      <c r="B27" s="75" t="s">
        <v>104</v>
      </c>
      <c r="C27" s="77" t="s">
        <v>105</v>
      </c>
      <c r="D27" s="55"/>
      <c r="E27" s="50" t="n">
        <v>46062</v>
      </c>
      <c r="F27" s="50" t="n">
        <v>46090</v>
      </c>
      <c r="G27" s="50"/>
    </row>
    <row r="28" customFormat="false" ht="15.75" hidden="false" customHeight="true" outlineLevel="0" collapsed="false">
      <c r="A28" s="72"/>
      <c r="B28" s="75" t="s">
        <v>39</v>
      </c>
      <c r="C28" s="76"/>
      <c r="D28" s="55"/>
      <c r="E28" s="50" t="n">
        <v>46279</v>
      </c>
      <c r="F28" s="50" t="n">
        <v>46341</v>
      </c>
      <c r="G28" s="50"/>
    </row>
    <row r="31" customFormat="false" ht="33.75" hidden="false" customHeight="true" outlineLevel="0" collapsed="false">
      <c r="A31" s="78" t="s">
        <v>40</v>
      </c>
      <c r="B31" s="78"/>
      <c r="C31" s="78"/>
      <c r="D31" s="79" t="s">
        <v>98</v>
      </c>
      <c r="E31" s="80" t="s">
        <v>81</v>
      </c>
      <c r="F31" s="80" t="s">
        <v>82</v>
      </c>
      <c r="G31" s="80"/>
      <c r="H31" s="81"/>
    </row>
    <row r="32" customFormat="false" ht="15.75" hidden="false" customHeight="true" outlineLevel="0" collapsed="false">
      <c r="A32" s="41" t="s">
        <v>57</v>
      </c>
      <c r="B32" s="42" t="s">
        <v>102</v>
      </c>
      <c r="C32" s="43" t="s">
        <v>62</v>
      </c>
      <c r="D32" s="82" t="n">
        <f aca="false">SUM(D33:D40)</f>
        <v>0.25</v>
      </c>
      <c r="K32" s="83"/>
      <c r="L32" s="83"/>
    </row>
    <row r="33" s="40" customFormat="true" ht="15.75" hidden="false" customHeight="true" outlineLevel="0" collapsed="false">
      <c r="A33" s="84" t="s">
        <v>106</v>
      </c>
      <c r="B33" s="58"/>
      <c r="C33" s="58"/>
      <c r="D33" s="59" t="n">
        <v>0.08</v>
      </c>
      <c r="E33" s="50" t="n">
        <v>46144</v>
      </c>
      <c r="F33" s="50" t="n">
        <v>46326</v>
      </c>
      <c r="G33" s="50"/>
      <c r="H33" s="34"/>
      <c r="K33" s="85"/>
      <c r="L33" s="14"/>
    </row>
    <row r="34" s="40" customFormat="true" ht="15.75" hidden="false" customHeight="true" outlineLevel="0" collapsed="false">
      <c r="A34" s="84" t="s">
        <v>107</v>
      </c>
      <c r="B34" s="52" t="s">
        <v>108</v>
      </c>
      <c r="C34" s="58" t="s">
        <v>109</v>
      </c>
      <c r="D34" s="59" t="n">
        <v>0.06</v>
      </c>
      <c r="E34" s="50" t="n">
        <v>46069</v>
      </c>
      <c r="F34" s="50" t="n">
        <v>46128</v>
      </c>
      <c r="G34" s="50"/>
      <c r="H34" s="34"/>
      <c r="K34" s="85"/>
      <c r="L34" s="14"/>
    </row>
    <row r="35" s="40" customFormat="true" ht="26.25" hidden="false" customHeight="true" outlineLevel="0" collapsed="false">
      <c r="A35" s="86" t="s">
        <v>44</v>
      </c>
      <c r="B35" s="87"/>
      <c r="C35" s="87"/>
      <c r="D35" s="55" t="n">
        <v>0.06</v>
      </c>
      <c r="E35" s="50" t="n">
        <v>46174</v>
      </c>
      <c r="F35" s="50" t="n">
        <v>46265</v>
      </c>
      <c r="G35" s="50"/>
      <c r="H35" s="34"/>
      <c r="K35" s="85"/>
      <c r="L35" s="14"/>
    </row>
    <row r="36" s="40" customFormat="true" ht="23.25" hidden="false" customHeight="true" outlineLevel="0" collapsed="false">
      <c r="A36" s="86"/>
      <c r="B36" s="86"/>
      <c r="C36" s="86"/>
      <c r="D36" s="55"/>
      <c r="E36" s="50" t="n">
        <v>46307</v>
      </c>
      <c r="F36" s="50" t="n">
        <v>46346</v>
      </c>
      <c r="G36" s="50"/>
      <c r="H36" s="34"/>
      <c r="K36" s="85"/>
      <c r="L36" s="14"/>
    </row>
    <row r="37" s="40" customFormat="true" ht="15.75" hidden="false" customHeight="true" outlineLevel="0" collapsed="false">
      <c r="A37" s="88" t="s">
        <v>110</v>
      </c>
      <c r="B37" s="87"/>
      <c r="C37" s="72" t="s">
        <v>111</v>
      </c>
      <c r="D37" s="55" t="n">
        <v>0.04</v>
      </c>
      <c r="E37" s="50" t="n">
        <v>46174</v>
      </c>
      <c r="F37" s="50" t="n">
        <v>46203</v>
      </c>
      <c r="G37" s="50"/>
      <c r="H37" s="34"/>
    </row>
    <row r="38" customFormat="false" ht="15.75" hidden="false" customHeight="true" outlineLevel="0" collapsed="false">
      <c r="A38" s="88"/>
      <c r="B38" s="88"/>
      <c r="C38" s="88"/>
      <c r="D38" s="55"/>
      <c r="E38" s="50" t="n">
        <v>46266</v>
      </c>
      <c r="F38" s="50" t="n">
        <v>46325</v>
      </c>
      <c r="G38" s="50"/>
    </row>
    <row r="39" s="40" customFormat="true" ht="20.25" hidden="false" customHeight="true" outlineLevel="0" collapsed="false">
      <c r="A39" s="67" t="s">
        <v>112</v>
      </c>
      <c r="B39" s="87"/>
      <c r="C39" s="87"/>
      <c r="D39" s="55" t="n">
        <v>0.01</v>
      </c>
      <c r="E39" s="50" t="n">
        <v>46153</v>
      </c>
      <c r="F39" s="50" t="n">
        <v>46234</v>
      </c>
      <c r="G39" s="50"/>
      <c r="H39" s="34"/>
      <c r="K39" s="85"/>
      <c r="L39" s="14"/>
    </row>
    <row r="40" s="40" customFormat="true" ht="19.5" hidden="false" customHeight="true" outlineLevel="0" collapsed="false">
      <c r="A40" s="67"/>
      <c r="B40" s="67"/>
      <c r="C40" s="67"/>
      <c r="D40" s="55"/>
      <c r="E40" s="50" t="n">
        <v>46266</v>
      </c>
      <c r="F40" s="50" t="n">
        <v>46325</v>
      </c>
      <c r="G40" s="50"/>
      <c r="H40" s="34"/>
      <c r="K40" s="85"/>
      <c r="L40" s="14"/>
    </row>
    <row r="42" customFormat="false" ht="34.5" hidden="false" customHeight="true" outlineLevel="0" collapsed="false">
      <c r="A42" s="89" t="s">
        <v>113</v>
      </c>
      <c r="B42" s="89"/>
      <c r="C42" s="89"/>
      <c r="D42" s="90" t="s">
        <v>98</v>
      </c>
      <c r="E42" s="91" t="s">
        <v>81</v>
      </c>
      <c r="F42" s="91" t="s">
        <v>82</v>
      </c>
      <c r="G42" s="91"/>
      <c r="H42" s="92"/>
    </row>
    <row r="43" customFormat="false" ht="15.75" hidden="false" customHeight="true" outlineLevel="0" collapsed="false">
      <c r="A43" s="41" t="s">
        <v>57</v>
      </c>
      <c r="B43" s="42" t="s">
        <v>102</v>
      </c>
      <c r="C43" s="43" t="s">
        <v>62</v>
      </c>
      <c r="D43" s="93" t="n">
        <f aca="false">SUM(D44:D54)</f>
        <v>0.25</v>
      </c>
    </row>
    <row r="44" customFormat="false" ht="17.25" hidden="false" customHeight="true" outlineLevel="0" collapsed="false">
      <c r="A44" s="94" t="s">
        <v>114</v>
      </c>
      <c r="B44" s="67" t="s">
        <v>115</v>
      </c>
      <c r="C44" s="72" t="s">
        <v>116</v>
      </c>
      <c r="D44" s="49" t="n">
        <v>0.07</v>
      </c>
      <c r="E44" s="50" t="n">
        <v>46069</v>
      </c>
      <c r="F44" s="50" t="n">
        <v>46112</v>
      </c>
      <c r="G44" s="50"/>
    </row>
    <row r="45" customFormat="false" ht="15.75" hidden="false" customHeight="true" outlineLevel="0" collapsed="false">
      <c r="A45" s="94"/>
      <c r="B45" s="94"/>
      <c r="C45" s="94"/>
      <c r="D45" s="49"/>
      <c r="E45" s="50" t="n">
        <v>46235</v>
      </c>
      <c r="F45" s="50" t="n">
        <v>46295</v>
      </c>
      <c r="G45" s="50"/>
    </row>
    <row r="46" customFormat="false" ht="17.25" hidden="false" customHeight="true" outlineLevel="0" collapsed="false">
      <c r="A46" s="94" t="s">
        <v>117</v>
      </c>
      <c r="B46" s="67" t="s">
        <v>118</v>
      </c>
      <c r="C46" s="67" t="s">
        <v>119</v>
      </c>
      <c r="D46" s="55" t="n">
        <v>0.07</v>
      </c>
      <c r="E46" s="50" t="n">
        <v>46143</v>
      </c>
      <c r="F46" s="50" t="n">
        <v>46203</v>
      </c>
      <c r="G46" s="50"/>
    </row>
    <row r="47" customFormat="false" ht="15.75" hidden="false" customHeight="true" outlineLevel="0" collapsed="false">
      <c r="A47" s="94"/>
      <c r="B47" s="94"/>
      <c r="C47" s="94"/>
      <c r="D47" s="55"/>
      <c r="E47" s="50" t="n">
        <v>46266</v>
      </c>
      <c r="F47" s="50" t="n">
        <v>46326</v>
      </c>
      <c r="G47" s="50"/>
    </row>
    <row r="48" customFormat="false" ht="15.75" hidden="false" customHeight="true" outlineLevel="0" collapsed="false">
      <c r="A48" s="94" t="s">
        <v>120</v>
      </c>
      <c r="B48" s="67" t="s">
        <v>121</v>
      </c>
      <c r="C48" s="72" t="s">
        <v>122</v>
      </c>
      <c r="D48" s="55" t="n">
        <v>0.07</v>
      </c>
      <c r="E48" s="50" t="n">
        <v>46062</v>
      </c>
      <c r="F48" s="50" t="n">
        <v>46081</v>
      </c>
      <c r="G48" s="50"/>
    </row>
    <row r="49" customFormat="false" ht="15.75" hidden="false" customHeight="true" outlineLevel="0" collapsed="false">
      <c r="A49" s="94"/>
      <c r="B49" s="94"/>
      <c r="C49" s="94"/>
      <c r="D49" s="55"/>
      <c r="E49" s="50" t="n">
        <v>46204</v>
      </c>
      <c r="F49" s="50" t="n">
        <v>46234</v>
      </c>
      <c r="G49" s="50"/>
    </row>
    <row r="50" customFormat="false" ht="15.75" hidden="false" customHeight="true" outlineLevel="0" collapsed="false">
      <c r="A50" s="67" t="s">
        <v>51</v>
      </c>
      <c r="B50" s="95"/>
      <c r="C50" s="95"/>
      <c r="D50" s="55" t="n">
        <v>0.01</v>
      </c>
      <c r="E50" s="50" t="n">
        <v>46132</v>
      </c>
      <c r="F50" s="50" t="n">
        <v>46193</v>
      </c>
      <c r="G50" s="50"/>
    </row>
    <row r="51" customFormat="false" ht="15.75" hidden="false" customHeight="true" outlineLevel="0" collapsed="false">
      <c r="A51" s="67"/>
      <c r="B51" s="67"/>
      <c r="C51" s="67"/>
      <c r="D51" s="55"/>
      <c r="E51" s="50" t="n">
        <v>46266</v>
      </c>
      <c r="F51" s="50" t="n">
        <v>46326</v>
      </c>
      <c r="G51" s="50"/>
    </row>
    <row r="52" customFormat="false" ht="15.75" hidden="false" customHeight="true" outlineLevel="0" collapsed="false">
      <c r="A52" s="96" t="s">
        <v>123</v>
      </c>
      <c r="B52" s="76"/>
      <c r="C52" s="76" t="s">
        <v>124</v>
      </c>
      <c r="D52" s="59" t="n">
        <v>0.01</v>
      </c>
      <c r="E52" s="50" t="n">
        <v>46082</v>
      </c>
      <c r="F52" s="50" t="n">
        <v>46112</v>
      </c>
      <c r="G52" s="50"/>
    </row>
    <row r="53" customFormat="false" ht="15.75" hidden="false" customHeight="true" outlineLevel="0" collapsed="false">
      <c r="A53" s="76" t="s">
        <v>125</v>
      </c>
      <c r="B53" s="76" t="s">
        <v>126</v>
      </c>
      <c r="C53" s="76" t="s">
        <v>127</v>
      </c>
      <c r="D53" s="59" t="n">
        <v>0.01</v>
      </c>
      <c r="E53" s="50" t="n">
        <v>46099</v>
      </c>
      <c r="F53" s="50" t="n">
        <v>46142</v>
      </c>
      <c r="G53" s="50"/>
    </row>
    <row r="54" customFormat="false" ht="15.75" hidden="false" customHeight="true" outlineLevel="0" collapsed="false">
      <c r="A54" s="76" t="s">
        <v>128</v>
      </c>
      <c r="B54" s="76" t="s">
        <v>126</v>
      </c>
      <c r="C54" s="76" t="s">
        <v>129</v>
      </c>
      <c r="D54" s="59" t="n">
        <v>0.01</v>
      </c>
      <c r="E54" s="50" t="n">
        <v>46310</v>
      </c>
      <c r="F54" s="50" t="n">
        <v>46341</v>
      </c>
      <c r="G54" s="50"/>
    </row>
    <row r="55" customFormat="false" ht="15.75" hidden="false" customHeight="true" outlineLevel="0" collapsed="false">
      <c r="D55" s="97" t="n">
        <f aca="false">SUM(D43+D32+D15+D2)</f>
        <v>1</v>
      </c>
    </row>
  </sheetData>
  <mergeCells count="48">
    <mergeCell ref="A1:C1"/>
    <mergeCell ref="A3:A5"/>
    <mergeCell ref="D3:D5"/>
    <mergeCell ref="A6:A8"/>
    <mergeCell ref="D6:D8"/>
    <mergeCell ref="A9:A10"/>
    <mergeCell ref="D9:D10"/>
    <mergeCell ref="A14:C14"/>
    <mergeCell ref="A16:A18"/>
    <mergeCell ref="B16:B17"/>
    <mergeCell ref="C16:C17"/>
    <mergeCell ref="D16:D18"/>
    <mergeCell ref="A19:A20"/>
    <mergeCell ref="B19:B20"/>
    <mergeCell ref="C19:C20"/>
    <mergeCell ref="D19:D20"/>
    <mergeCell ref="A24:A28"/>
    <mergeCell ref="D24:D28"/>
    <mergeCell ref="A31:C31"/>
    <mergeCell ref="A35:A36"/>
    <mergeCell ref="B35:B36"/>
    <mergeCell ref="C35:C36"/>
    <mergeCell ref="D35:D36"/>
    <mergeCell ref="A37:A38"/>
    <mergeCell ref="B37:B38"/>
    <mergeCell ref="C37:C38"/>
    <mergeCell ref="D37:D38"/>
    <mergeCell ref="A39:A40"/>
    <mergeCell ref="B39:B40"/>
    <mergeCell ref="C39:C40"/>
    <mergeCell ref="D39:D40"/>
    <mergeCell ref="A42:C42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B54" activeCellId="0" sqref="B54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21" width="17.5"/>
    <col collapsed="false" customWidth="true" hidden="false" outlineLevel="0" max="2" min="2" style="21" width="73"/>
    <col collapsed="false" customWidth="true" hidden="false" outlineLevel="0" max="5" min="5" style="21" width="14.52"/>
    <col collapsed="false" customWidth="true" hidden="false" outlineLevel="0" max="6" min="6" style="21" width="73"/>
  </cols>
  <sheetData>
    <row r="1" s="40" customFormat="true" ht="24" hidden="false" customHeight="true" outlineLevel="0" collapsed="false">
      <c r="A1" s="98" t="s">
        <v>130</v>
      </c>
    </row>
    <row r="2" customFormat="false" ht="45.75" hidden="false" customHeight="true" outlineLevel="0" collapsed="false">
      <c r="A2" s="99" t="s">
        <v>131</v>
      </c>
      <c r="B2" s="100" t="s">
        <v>132</v>
      </c>
    </row>
    <row r="4" customFormat="false" ht="15" hidden="false" customHeight="true" outlineLevel="0" collapsed="false">
      <c r="A4" s="99" t="s">
        <v>133</v>
      </c>
      <c r="B4" s="101" t="s">
        <v>134</v>
      </c>
    </row>
    <row r="5" customFormat="false" ht="15" hidden="false" customHeight="true" outlineLevel="0" collapsed="false">
      <c r="B5" s="101" t="s">
        <v>135</v>
      </c>
    </row>
    <row r="6" customFormat="false" ht="15" hidden="false" customHeight="true" outlineLevel="0" collapsed="false">
      <c r="B6" s="101" t="s">
        <v>136</v>
      </c>
    </row>
    <row r="7" customFormat="false" ht="15" hidden="false" customHeight="true" outlineLevel="0" collapsed="false">
      <c r="B7" s="101" t="s">
        <v>137</v>
      </c>
    </row>
    <row r="9" customFormat="false" ht="15" hidden="false" customHeight="true" outlineLevel="0" collapsed="false">
      <c r="A9" s="99" t="s">
        <v>138</v>
      </c>
      <c r="B9" s="101" t="s">
        <v>139</v>
      </c>
    </row>
    <row r="10" customFormat="false" ht="15" hidden="false" customHeight="true" outlineLevel="0" collapsed="false">
      <c r="B10" s="101" t="s">
        <v>140</v>
      </c>
    </row>
    <row r="11" customFormat="false" ht="15" hidden="false" customHeight="true" outlineLevel="0" collapsed="false">
      <c r="B11" s="101" t="s">
        <v>141</v>
      </c>
    </row>
    <row r="13" customFormat="false" ht="15" hidden="false" customHeight="true" outlineLevel="0" collapsed="false">
      <c r="A13" s="99" t="s">
        <v>142</v>
      </c>
      <c r="B13" s="101" t="s">
        <v>143</v>
      </c>
    </row>
    <row r="14" customFormat="false" ht="15" hidden="false" customHeight="true" outlineLevel="0" collapsed="false">
      <c r="B14" s="101" t="s">
        <v>144</v>
      </c>
    </row>
    <row r="16" customFormat="false" ht="15" hidden="false" customHeight="true" outlineLevel="0" collapsed="false">
      <c r="A16" s="99" t="s">
        <v>145</v>
      </c>
    </row>
    <row r="17" customFormat="false" ht="15" hidden="false" customHeight="true" outlineLevel="0" collapsed="false">
      <c r="A17" s="102" t="s">
        <v>146</v>
      </c>
      <c r="B17" s="102" t="s">
        <v>147</v>
      </c>
    </row>
    <row r="18" customFormat="false" ht="15" hidden="false" customHeight="true" outlineLevel="0" collapsed="false">
      <c r="A18" s="103" t="s">
        <v>148</v>
      </c>
      <c r="B18" s="103" t="s">
        <v>149</v>
      </c>
    </row>
    <row r="19" customFormat="false" ht="15" hidden="false" customHeight="true" outlineLevel="0" collapsed="false">
      <c r="A19" s="103" t="s">
        <v>148</v>
      </c>
      <c r="B19" s="103" t="s">
        <v>150</v>
      </c>
    </row>
    <row r="20" customFormat="false" ht="15" hidden="false" customHeight="true" outlineLevel="0" collapsed="false">
      <c r="A20" s="103" t="s">
        <v>151</v>
      </c>
      <c r="B20" s="103" t="s">
        <v>152</v>
      </c>
    </row>
    <row r="21" customFormat="false" ht="15" hidden="false" customHeight="true" outlineLevel="0" collapsed="false">
      <c r="A21" s="103" t="s">
        <v>153</v>
      </c>
      <c r="B21" s="103" t="s">
        <v>154</v>
      </c>
    </row>
    <row r="22" customFormat="false" ht="15" hidden="false" customHeight="true" outlineLevel="0" collapsed="false">
      <c r="A22" s="103" t="s">
        <v>153</v>
      </c>
      <c r="B22" s="103" t="s">
        <v>155</v>
      </c>
    </row>
    <row r="23" customFormat="false" ht="18" hidden="false" customHeight="true" outlineLevel="0" collapsed="false">
      <c r="A23" s="104" t="s">
        <v>156</v>
      </c>
      <c r="B23" s="105"/>
    </row>
    <row r="25" customFormat="false" ht="20.25" hidden="false" customHeight="true" outlineLevel="0" collapsed="false">
      <c r="A25" s="99" t="s">
        <v>157</v>
      </c>
    </row>
    <row r="26" customFormat="false" ht="15" hidden="false" customHeight="true" outlineLevel="0" collapsed="false">
      <c r="A26" s="106" t="s">
        <v>158</v>
      </c>
      <c r="B26" s="106" t="s">
        <v>159</v>
      </c>
    </row>
    <row r="27" customFormat="false" ht="15" hidden="false" customHeight="true" outlineLevel="0" collapsed="false">
      <c r="A27" s="107" t="s">
        <v>160</v>
      </c>
      <c r="B27" s="107" t="s">
        <v>161</v>
      </c>
    </row>
    <row r="28" customFormat="false" ht="15" hidden="false" customHeight="true" outlineLevel="0" collapsed="false">
      <c r="A28" s="107" t="s">
        <v>162</v>
      </c>
      <c r="B28" s="107" t="s">
        <v>163</v>
      </c>
    </row>
    <row r="29" customFormat="false" ht="15" hidden="false" customHeight="true" outlineLevel="0" collapsed="false">
      <c r="A29" s="107" t="s">
        <v>164</v>
      </c>
      <c r="B29" s="107" t="s">
        <v>165</v>
      </c>
    </row>
    <row r="30" customFormat="false" ht="15" hidden="false" customHeight="true" outlineLevel="0" collapsed="false">
      <c r="A30" s="107" t="s">
        <v>166</v>
      </c>
      <c r="B30" s="107" t="s">
        <v>167</v>
      </c>
    </row>
    <row r="31" customFormat="false" ht="15" hidden="false" customHeight="true" outlineLevel="0" collapsed="false">
      <c r="A31" s="107" t="s">
        <v>168</v>
      </c>
      <c r="B31" s="107" t="s">
        <v>169</v>
      </c>
    </row>
    <row r="32" customFormat="false" ht="15" hidden="false" customHeight="true" outlineLevel="0" collapsed="false">
      <c r="A32" s="104" t="s">
        <v>170</v>
      </c>
    </row>
    <row r="34" customFormat="false" ht="15" hidden="false" customHeight="true" outlineLevel="0" collapsed="false">
      <c r="A34" s="99" t="s">
        <v>171</v>
      </c>
    </row>
    <row r="35" customFormat="false" ht="15" hidden="false" customHeight="true" outlineLevel="0" collapsed="false">
      <c r="A35" s="108" t="s">
        <v>172</v>
      </c>
    </row>
    <row r="36" customFormat="false" ht="18" hidden="false" customHeight="true" outlineLevel="0" collapsed="false">
      <c r="A36" s="108" t="s">
        <v>173</v>
      </c>
    </row>
    <row r="39" customFormat="false" ht="24.75" hidden="false" customHeight="true" outlineLevel="0" collapsed="false">
      <c r="A39" s="98" t="s">
        <v>174</v>
      </c>
      <c r="B39" s="40"/>
    </row>
    <row r="40" customFormat="false" ht="25.5" hidden="false" customHeight="true" outlineLevel="0" collapsed="false">
      <c r="A40" s="99" t="s">
        <v>131</v>
      </c>
      <c r="B40" s="100" t="s">
        <v>175</v>
      </c>
    </row>
    <row r="42" customFormat="false" ht="15" hidden="false" customHeight="true" outlineLevel="0" collapsed="false">
      <c r="A42" s="99" t="s">
        <v>133</v>
      </c>
      <c r="B42" s="101" t="s">
        <v>176</v>
      </c>
    </row>
    <row r="43" customFormat="false" ht="15" hidden="false" customHeight="true" outlineLevel="0" collapsed="false">
      <c r="B43" s="101" t="s">
        <v>177</v>
      </c>
    </row>
    <row r="44" customFormat="false" ht="15" hidden="false" customHeight="true" outlineLevel="0" collapsed="false">
      <c r="B44" s="101" t="s">
        <v>178</v>
      </c>
    </row>
    <row r="45" customFormat="false" ht="15" hidden="false" customHeight="true" outlineLevel="0" collapsed="false">
      <c r="B45" s="101" t="s">
        <v>179</v>
      </c>
    </row>
    <row r="47" customFormat="false" ht="15" hidden="false" customHeight="true" outlineLevel="0" collapsed="false">
      <c r="A47" s="99" t="s">
        <v>138</v>
      </c>
      <c r="B47" s="101" t="s">
        <v>180</v>
      </c>
    </row>
    <row r="48" customFormat="false" ht="15" hidden="false" customHeight="true" outlineLevel="0" collapsed="false">
      <c r="B48" s="101" t="s">
        <v>181</v>
      </c>
    </row>
    <row r="49" customFormat="false" ht="15" hidden="false" customHeight="true" outlineLevel="0" collapsed="false">
      <c r="B49" s="101" t="s">
        <v>182</v>
      </c>
    </row>
    <row r="53" customFormat="false" ht="24.75" hidden="false" customHeight="true" outlineLevel="0" collapsed="false">
      <c r="A53" s="98" t="s">
        <v>183</v>
      </c>
      <c r="B53" s="40"/>
    </row>
    <row r="54" customFormat="false" ht="15" hidden="false" customHeight="true" outlineLevel="0" collapsed="false">
      <c r="A54" s="99" t="s">
        <v>131</v>
      </c>
      <c r="B54" s="100" t="s">
        <v>184</v>
      </c>
    </row>
    <row r="56" customFormat="false" ht="15" hidden="false" customHeight="true" outlineLevel="0" collapsed="false">
      <c r="A56" s="99" t="s">
        <v>133</v>
      </c>
      <c r="B56" s="101" t="s">
        <v>185</v>
      </c>
    </row>
    <row r="57" customFormat="false" ht="15" hidden="false" customHeight="true" outlineLevel="0" collapsed="false">
      <c r="B57" s="101" t="s">
        <v>186</v>
      </c>
    </row>
    <row r="58" customFormat="false" ht="15" hidden="false" customHeight="true" outlineLevel="0" collapsed="false">
      <c r="B58" s="101" t="s">
        <v>187</v>
      </c>
    </row>
    <row r="59" customFormat="false" ht="15" hidden="false" customHeight="true" outlineLevel="0" collapsed="false">
      <c r="B59" s="101" t="s">
        <v>188</v>
      </c>
    </row>
    <row r="61" customFormat="false" ht="15" hidden="false" customHeight="true" outlineLevel="0" collapsed="false">
      <c r="A61" s="99" t="s">
        <v>138</v>
      </c>
      <c r="B61" s="101" t="s">
        <v>189</v>
      </c>
    </row>
    <row r="62" customFormat="false" ht="15" hidden="false" customHeight="true" outlineLevel="0" collapsed="false">
      <c r="B62" s="101" t="s">
        <v>190</v>
      </c>
    </row>
    <row r="63" customFormat="false" ht="15" hidden="false" customHeight="true" outlineLevel="0" collapsed="false">
      <c r="B63" s="101" t="s">
        <v>191</v>
      </c>
    </row>
    <row r="65" customFormat="false" ht="23.25" hidden="false" customHeight="true" outlineLevel="0" collapsed="false">
      <c r="A65" s="99" t="s">
        <v>192</v>
      </c>
      <c r="B65" s="100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4" colorId="64" zoomScale="111" zoomScaleNormal="111" zoomScalePageLayoutView="100" workbookViewId="0">
      <selection pane="topLeft" activeCell="B3" activeCellId="0" sqref="B3"/>
    </sheetView>
  </sheetViews>
  <sheetFormatPr defaultColWidth="8.83203125" defaultRowHeight="15.75" customHeight="true" zeroHeight="false" outlineLevelRow="0" outlineLevelCol="0"/>
  <cols>
    <col collapsed="false" customWidth="true" hidden="false" outlineLevel="0" max="1" min="1" style="109" width="16.67"/>
    <col collapsed="false" customWidth="true" hidden="false" outlineLevel="0" max="2" min="2" style="110" width="60.5"/>
    <col collapsed="false" customWidth="true" hidden="false" outlineLevel="0" max="3" min="3" style="111" width="14.67"/>
    <col collapsed="false" customWidth="true" hidden="false" outlineLevel="0" max="4" min="4" style="111" width="61.34"/>
    <col collapsed="false" customWidth="false" hidden="false" outlineLevel="0" max="16384" min="5" style="111" width="8.83"/>
  </cols>
  <sheetData>
    <row r="1" customFormat="false" ht="18.75" hidden="false" customHeight="true" outlineLevel="0" collapsed="false">
      <c r="A1" s="112" t="s">
        <v>194</v>
      </c>
    </row>
    <row r="2" customFormat="false" ht="16.5" hidden="false" customHeight="true" outlineLevel="0" collapsed="false">
      <c r="A2" s="113" t="s">
        <v>195</v>
      </c>
      <c r="B2" s="110" t="s">
        <v>196</v>
      </c>
    </row>
    <row r="3" customFormat="false" ht="33.75" hidden="false" customHeight="true" outlineLevel="0" collapsed="false">
      <c r="A3" s="113" t="s">
        <v>197</v>
      </c>
      <c r="B3" s="110" t="s">
        <v>198</v>
      </c>
    </row>
    <row r="4" customFormat="false" ht="16.5" hidden="false" customHeight="true" outlineLevel="0" collapsed="false">
      <c r="A4" s="113" t="s">
        <v>199</v>
      </c>
      <c r="B4" s="110" t="s">
        <v>200</v>
      </c>
    </row>
    <row r="6" customFormat="false" ht="18.75" hidden="false" customHeight="true" outlineLevel="0" collapsed="false">
      <c r="A6" s="112" t="s">
        <v>201</v>
      </c>
    </row>
    <row r="7" customFormat="false" ht="93" hidden="false" customHeight="true" outlineLevel="0" collapsed="false">
      <c r="A7" s="114" t="s">
        <v>202</v>
      </c>
      <c r="B7" s="114"/>
    </row>
    <row r="8" customFormat="false" ht="15.75" hidden="false" customHeight="true" outlineLevel="0" collapsed="false">
      <c r="A8" s="109" t="s">
        <v>203</v>
      </c>
    </row>
    <row r="9" customFormat="false" ht="33.75" hidden="false" customHeight="true" outlineLevel="0" collapsed="false">
      <c r="B9" s="115" t="s">
        <v>204</v>
      </c>
    </row>
    <row r="10" customFormat="false" ht="51" hidden="false" customHeight="true" outlineLevel="0" collapsed="false">
      <c r="B10" s="110" t="s">
        <v>205</v>
      </c>
    </row>
    <row r="11" customFormat="false" ht="33.75" hidden="false" customHeight="true" outlineLevel="0" collapsed="false">
      <c r="B11" s="115" t="s">
        <v>206</v>
      </c>
    </row>
    <row r="13" customFormat="false" ht="18.75" hidden="false" customHeight="true" outlineLevel="0" collapsed="false">
      <c r="A13" s="112" t="s">
        <v>207</v>
      </c>
    </row>
    <row r="14" s="118" customFormat="true" ht="67.5" hidden="false" customHeight="true" outlineLevel="0" collapsed="false">
      <c r="A14" s="116" t="s">
        <v>208</v>
      </c>
      <c r="B14" s="117" t="s">
        <v>209</v>
      </c>
    </row>
    <row r="15" s="118" customFormat="true" ht="57.75" hidden="false" customHeight="true" outlineLevel="0" collapsed="false">
      <c r="A15" s="116" t="s">
        <v>210</v>
      </c>
      <c r="B15" s="117" t="s">
        <v>211</v>
      </c>
    </row>
    <row r="16" s="118" customFormat="true" ht="132" hidden="false" customHeight="true" outlineLevel="0" collapsed="false">
      <c r="A16" s="116" t="s">
        <v>212</v>
      </c>
      <c r="B16" s="117" t="s">
        <v>213</v>
      </c>
      <c r="C16" s="116" t="s">
        <v>214</v>
      </c>
      <c r="D16" s="117" t="s">
        <v>215</v>
      </c>
    </row>
    <row r="18" customFormat="false" ht="18.75" hidden="false" customHeight="true" outlineLevel="0" collapsed="false">
      <c r="A18" s="112" t="s">
        <v>216</v>
      </c>
    </row>
    <row r="19" customFormat="false" ht="135.75" hidden="false" customHeight="true" outlineLevel="0" collapsed="false">
      <c r="B19" s="110" t="s">
        <v>217</v>
      </c>
    </row>
  </sheetData>
  <mergeCells count="1">
    <mergeCell ref="A7:B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0" activeCellId="0" sqref="E10"/>
    </sheetView>
  </sheetViews>
  <sheetFormatPr defaultColWidth="11.5078125" defaultRowHeight="15" customHeight="true" zeroHeight="false" outlineLevelRow="0" outlineLevelCol="0"/>
  <cols>
    <col collapsed="false" customWidth="true" hidden="false" outlineLevel="0" max="2" min="2" style="1" width="47.83"/>
    <col collapsed="false" customWidth="true" hidden="false" outlineLevel="0" max="5" min="5" style="21" width="37.5"/>
  </cols>
  <sheetData>
    <row r="1" customFormat="false" ht="15.75" hidden="false" customHeight="true" outlineLevel="0" collapsed="false">
      <c r="A1" s="119" t="s">
        <v>218</v>
      </c>
      <c r="B1" s="120" t="s">
        <v>219</v>
      </c>
    </row>
    <row r="2" customFormat="false" ht="15.75" hidden="false" customHeight="true" outlineLevel="0" collapsed="false">
      <c r="B2" s="1" t="s">
        <v>220</v>
      </c>
      <c r="D2" s="121" t="s">
        <v>221</v>
      </c>
      <c r="E2" s="21" t="s">
        <v>222</v>
      </c>
    </row>
    <row r="3" customFormat="false" ht="15.75" hidden="false" customHeight="true" outlineLevel="0" collapsed="false">
      <c r="B3" s="1" t="s">
        <v>223</v>
      </c>
      <c r="D3" s="121" t="s">
        <v>224</v>
      </c>
      <c r="E3" s="21" t="s">
        <v>225</v>
      </c>
    </row>
    <row r="4" customFormat="false" ht="15.75" hidden="false" customHeight="true" outlineLevel="0" collapsed="false">
      <c r="B4" s="1" t="s">
        <v>226</v>
      </c>
      <c r="D4" s="121" t="s">
        <v>227</v>
      </c>
      <c r="E4" s="21" t="s">
        <v>228</v>
      </c>
    </row>
    <row r="5" customFormat="false" ht="15" hidden="false" customHeight="true" outlineLevel="0" collapsed="false">
      <c r="D5" s="121" t="s">
        <v>229</v>
      </c>
      <c r="E5" s="21" t="s">
        <v>230</v>
      </c>
    </row>
    <row r="6" customFormat="false" ht="15.75" hidden="false" customHeight="true" outlineLevel="0" collapsed="false">
      <c r="A6" s="119" t="s">
        <v>231</v>
      </c>
      <c r="B6" s="120" t="s">
        <v>232</v>
      </c>
      <c r="D6" s="121" t="s">
        <v>233</v>
      </c>
      <c r="E6" s="21" t="s">
        <v>234</v>
      </c>
    </row>
    <row r="7" customFormat="false" ht="15.75" hidden="false" customHeight="true" outlineLevel="0" collapsed="false">
      <c r="B7" s="1" t="s">
        <v>235</v>
      </c>
      <c r="D7" s="121" t="s">
        <v>236</v>
      </c>
      <c r="E7" s="21" t="s">
        <v>237</v>
      </c>
    </row>
    <row r="8" customFormat="false" ht="15.75" hidden="false" customHeight="true" outlineLevel="0" collapsed="false">
      <c r="B8" s="1" t="s">
        <v>238</v>
      </c>
      <c r="D8" s="121" t="s">
        <v>239</v>
      </c>
      <c r="E8" s="21" t="s">
        <v>240</v>
      </c>
    </row>
    <row r="9" customFormat="false" ht="15.75" hidden="false" customHeight="true" outlineLevel="0" collapsed="false">
      <c r="B9" s="1" t="s">
        <v>241</v>
      </c>
      <c r="D9" s="121" t="s">
        <v>242</v>
      </c>
      <c r="E9" s="21" t="s">
        <v>243</v>
      </c>
      <c r="F9" s="21" t="s">
        <v>244</v>
      </c>
    </row>
    <row r="10" customFormat="false" ht="15.75" hidden="false" customHeight="true" outlineLevel="0" collapsed="false">
      <c r="B10" s="1" t="s">
        <v>245</v>
      </c>
      <c r="D10" s="121" t="s">
        <v>246</v>
      </c>
      <c r="E10" s="21" t="s">
        <v>247</v>
      </c>
    </row>
    <row r="11" customFormat="false" ht="15.75" hidden="false" customHeight="true" outlineLevel="0" collapsed="false">
      <c r="B11" s="1" t="s">
        <v>248</v>
      </c>
      <c r="D11" s="121" t="s">
        <v>249</v>
      </c>
      <c r="E11" s="21" t="s">
        <v>250</v>
      </c>
      <c r="F11" s="21" t="s">
        <v>251</v>
      </c>
    </row>
    <row r="12" customFormat="false" ht="15" hidden="false" customHeight="true" outlineLevel="0" collapsed="false">
      <c r="D12" s="121" t="s">
        <v>252</v>
      </c>
      <c r="E12" s="21" t="s">
        <v>253</v>
      </c>
    </row>
    <row r="13" customFormat="false" ht="15.75" hidden="false" customHeight="true" outlineLevel="0" collapsed="false">
      <c r="A13" s="119" t="s">
        <v>227</v>
      </c>
      <c r="B13" s="120" t="s">
        <v>254</v>
      </c>
      <c r="D13" s="121" t="s">
        <v>255</v>
      </c>
      <c r="E13" s="21" t="s">
        <v>256</v>
      </c>
    </row>
    <row r="14" customFormat="false" ht="31.5" hidden="false" customHeight="true" outlineLevel="0" collapsed="false">
      <c r="B14" s="1" t="s">
        <v>257</v>
      </c>
      <c r="D14" s="121" t="s">
        <v>258</v>
      </c>
      <c r="E14" s="40" t="s">
        <v>259</v>
      </c>
      <c r="F14" s="40" t="s">
        <v>260</v>
      </c>
    </row>
    <row r="15" customFormat="false" ht="31.5" hidden="false" customHeight="true" outlineLevel="0" collapsed="false">
      <c r="B15" s="1" t="s">
        <v>261</v>
      </c>
      <c r="D15" s="121" t="s">
        <v>262</v>
      </c>
      <c r="E15" s="21" t="s">
        <v>263</v>
      </c>
    </row>
    <row r="16" customFormat="false" ht="15" hidden="false" customHeight="true" outlineLevel="0" collapsed="false">
      <c r="D16" s="121" t="s">
        <v>264</v>
      </c>
      <c r="E16" s="21" t="s">
        <v>265</v>
      </c>
    </row>
    <row r="17" customFormat="false" ht="15.75" hidden="false" customHeight="true" outlineLevel="0" collapsed="false">
      <c r="A17" s="119" t="s">
        <v>229</v>
      </c>
      <c r="B17" s="120" t="s">
        <v>266</v>
      </c>
      <c r="D17" s="121" t="s">
        <v>267</v>
      </c>
      <c r="E17" s="21" t="s">
        <v>268</v>
      </c>
      <c r="F17" s="21" t="s">
        <v>269</v>
      </c>
    </row>
    <row r="18" customFormat="false" ht="15.75" hidden="false" customHeight="true" outlineLevel="0" collapsed="false">
      <c r="B18" s="1" t="s">
        <v>270</v>
      </c>
      <c r="D18" s="121" t="s">
        <v>271</v>
      </c>
      <c r="E18" s="21" t="s">
        <v>272</v>
      </c>
      <c r="F18" s="21" t="s">
        <v>273</v>
      </c>
    </row>
    <row r="19" customFormat="false" ht="15.75" hidden="false" customHeight="true" outlineLevel="0" collapsed="false">
      <c r="B19" s="1" t="s">
        <v>274</v>
      </c>
      <c r="D19" s="121" t="s">
        <v>275</v>
      </c>
      <c r="E19" s="21" t="s">
        <v>276</v>
      </c>
    </row>
    <row r="20" customFormat="false" ht="15.75" hidden="false" customHeight="true" outlineLevel="0" collapsed="false">
      <c r="B20" s="1" t="s">
        <v>277</v>
      </c>
      <c r="D20" s="121" t="s">
        <v>278</v>
      </c>
      <c r="E20" s="21" t="s">
        <v>279</v>
      </c>
    </row>
    <row r="21" customFormat="false" ht="15" hidden="false" customHeight="true" outlineLevel="0" collapsed="false">
      <c r="D21" s="121" t="s">
        <v>280</v>
      </c>
      <c r="E21" s="21" t="s">
        <v>281</v>
      </c>
    </row>
    <row r="22" customFormat="false" ht="15.75" hidden="false" customHeight="true" outlineLevel="0" collapsed="false">
      <c r="A22" s="119" t="s">
        <v>233</v>
      </c>
      <c r="B22" s="120" t="s">
        <v>282</v>
      </c>
      <c r="D22" s="121" t="s">
        <v>283</v>
      </c>
      <c r="E22" s="21" t="s">
        <v>284</v>
      </c>
      <c r="F22" s="21" t="s">
        <v>285</v>
      </c>
    </row>
    <row r="23" customFormat="false" ht="15.75" hidden="false" customHeight="true" outlineLevel="0" collapsed="false">
      <c r="B23" s="1" t="s">
        <v>286</v>
      </c>
      <c r="D23" s="121" t="s">
        <v>287</v>
      </c>
    </row>
    <row r="24" customFormat="false" ht="15.75" hidden="false" customHeight="true" outlineLevel="0" collapsed="false">
      <c r="B24" s="1" t="s">
        <v>288</v>
      </c>
      <c r="D24" s="121" t="s">
        <v>289</v>
      </c>
    </row>
    <row r="25" customFormat="false" ht="15.75" hidden="false" customHeight="true" outlineLevel="0" collapsed="false">
      <c r="B25" s="1" t="s">
        <v>290</v>
      </c>
      <c r="D25" s="121" t="s">
        <v>291</v>
      </c>
    </row>
    <row r="26" customFormat="false" ht="15" hidden="false" customHeight="true" outlineLevel="0" collapsed="false">
      <c r="D26" s="121" t="s">
        <v>292</v>
      </c>
    </row>
    <row r="27" customFormat="false" ht="15.75" hidden="false" customHeight="true" outlineLevel="0" collapsed="false">
      <c r="A27" s="119" t="s">
        <v>236</v>
      </c>
      <c r="B27" s="120" t="s">
        <v>293</v>
      </c>
      <c r="D27" s="21" t="s">
        <v>294</v>
      </c>
    </row>
    <row r="28" customFormat="false" ht="15.75" hidden="false" customHeight="true" outlineLevel="0" collapsed="false">
      <c r="B28" s="1" t="s">
        <v>295</v>
      </c>
    </row>
    <row r="29" customFormat="false" ht="15.75" hidden="false" customHeight="true" outlineLevel="0" collapsed="false">
      <c r="B29" s="1" t="s">
        <v>296</v>
      </c>
    </row>
    <row r="31" customFormat="false" ht="15.75" hidden="false" customHeight="true" outlineLevel="0" collapsed="false">
      <c r="A31" s="119" t="s">
        <v>239</v>
      </c>
      <c r="B31" s="120" t="s">
        <v>297</v>
      </c>
    </row>
    <row r="32" customFormat="false" ht="15.75" hidden="false" customHeight="true" outlineLevel="0" collapsed="false">
      <c r="B32" s="1" t="s">
        <v>298</v>
      </c>
    </row>
    <row r="34" customFormat="false" ht="15.75" hidden="false" customHeight="true" outlineLevel="0" collapsed="false">
      <c r="A34" s="119" t="s">
        <v>242</v>
      </c>
      <c r="B34" s="120" t="s">
        <v>299</v>
      </c>
    </row>
    <row r="35" customFormat="false" ht="15.75" hidden="false" customHeight="true" outlineLevel="0" collapsed="false">
      <c r="B35" s="1" t="s">
        <v>300</v>
      </c>
    </row>
    <row r="36" customFormat="false" ht="15.75" hidden="false" customHeight="true" outlineLevel="0" collapsed="false">
      <c r="B36" s="1" t="s">
        <v>301</v>
      </c>
    </row>
    <row r="37" customFormat="false" ht="15.75" hidden="false" customHeight="true" outlineLevel="0" collapsed="false">
      <c r="B37" s="1" t="s">
        <v>302</v>
      </c>
    </row>
    <row r="38" customFormat="false" ht="15.75" hidden="false" customHeight="true" outlineLevel="0" collapsed="false">
      <c r="B38" s="1" t="s">
        <v>303</v>
      </c>
    </row>
    <row r="39" customFormat="false" ht="15.75" hidden="false" customHeight="true" outlineLevel="0" collapsed="false">
      <c r="B39" s="1" t="s">
        <v>304</v>
      </c>
    </row>
    <row r="40" customFormat="false" ht="15.75" hidden="false" customHeight="true" outlineLevel="0" collapsed="false">
      <c r="B40" s="1" t="s">
        <v>305</v>
      </c>
    </row>
    <row r="42" customFormat="false" ht="15.75" hidden="false" customHeight="true" outlineLevel="0" collapsed="false">
      <c r="A42" s="119" t="s">
        <v>246</v>
      </c>
      <c r="B42" s="120" t="s">
        <v>306</v>
      </c>
    </row>
    <row r="43" customFormat="false" ht="63.75" hidden="false" customHeight="true" outlineLevel="0" collapsed="false">
      <c r="B43" s="1" t="s">
        <v>307</v>
      </c>
    </row>
    <row r="44" customFormat="false" ht="15.75" hidden="false" customHeight="true" outlineLevel="0" collapsed="false">
      <c r="B44" s="1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9" activeCellId="0" sqref="A29"/>
    </sheetView>
  </sheetViews>
  <sheetFormatPr defaultColWidth="10.83203125" defaultRowHeight="15" customHeight="true" zeroHeight="false" outlineLevelRow="0" outlineLevelCol="0"/>
  <sheetData>
    <row r="1" customFormat="false" ht="15" hidden="false" customHeight="true" outlineLevel="0" collapsed="false">
      <c r="A1" s="83" t="s">
        <v>309</v>
      </c>
    </row>
    <row r="2" customFormat="false" ht="15" hidden="false" customHeight="true" outlineLevel="0" collapsed="false">
      <c r="A2" s="21" t="s">
        <v>310</v>
      </c>
    </row>
    <row r="3" customFormat="false" ht="15" hidden="false" customHeight="true" outlineLevel="0" collapsed="false">
      <c r="A3" s="21" t="s">
        <v>311</v>
      </c>
    </row>
    <row r="4" customFormat="false" ht="15" hidden="false" customHeight="true" outlineLevel="0" collapsed="false">
      <c r="A4" s="21" t="s">
        <v>312</v>
      </c>
    </row>
    <row r="5" customFormat="false" ht="15" hidden="false" customHeight="true" outlineLevel="0" collapsed="false">
      <c r="A5" s="21" t="s">
        <v>313</v>
      </c>
    </row>
    <row r="6" customFormat="false" ht="15" hidden="false" customHeight="true" outlineLevel="0" collapsed="false">
      <c r="A6" s="21" t="s">
        <v>314</v>
      </c>
    </row>
    <row r="7" customFormat="false" ht="15" hidden="false" customHeight="true" outlineLevel="0" collapsed="false">
      <c r="A7" s="21" t="s">
        <v>315</v>
      </c>
    </row>
    <row r="8" customFormat="false" ht="15" hidden="false" customHeight="true" outlineLevel="0" collapsed="false">
      <c r="A8" s="21" t="s">
        <v>316</v>
      </c>
    </row>
    <row r="9" customFormat="false" ht="15" hidden="false" customHeight="true" outlineLevel="0" collapsed="false">
      <c r="A9" s="21" t="s">
        <v>317</v>
      </c>
    </row>
    <row r="11" customFormat="false" ht="15" hidden="false" customHeight="true" outlineLevel="0" collapsed="false">
      <c r="A11" s="83" t="s">
        <v>318</v>
      </c>
    </row>
    <row r="12" customFormat="false" ht="15" hidden="false" customHeight="true" outlineLevel="0" collapsed="false">
      <c r="A12" s="21" t="s">
        <v>319</v>
      </c>
    </row>
    <row r="13" customFormat="false" ht="15" hidden="false" customHeight="true" outlineLevel="0" collapsed="false">
      <c r="A13" s="21" t="s">
        <v>320</v>
      </c>
    </row>
    <row r="14" customFormat="false" ht="15" hidden="false" customHeight="true" outlineLevel="0" collapsed="false">
      <c r="A14" s="21" t="s">
        <v>321</v>
      </c>
    </row>
    <row r="16" customFormat="false" ht="15" hidden="false" customHeight="true" outlineLevel="0" collapsed="false">
      <c r="A16" s="83" t="s">
        <v>322</v>
      </c>
    </row>
    <row r="18" customFormat="false" ht="15" hidden="false" customHeight="true" outlineLevel="0" collapsed="false">
      <c r="A18" s="83" t="s">
        <v>323</v>
      </c>
    </row>
    <row r="19" customFormat="false" ht="15" hidden="false" customHeight="true" outlineLevel="0" collapsed="false">
      <c r="A19" s="21" t="s">
        <v>324</v>
      </c>
    </row>
    <row r="20" customFormat="false" ht="15" hidden="false" customHeight="true" outlineLevel="0" collapsed="false">
      <c r="A20" s="83" t="s">
        <v>325</v>
      </c>
    </row>
    <row r="21" customFormat="false" ht="15" hidden="false" customHeight="true" outlineLevel="0" collapsed="false">
      <c r="A21" s="21" t="s">
        <v>326</v>
      </c>
    </row>
    <row r="22" customFormat="false" ht="15" hidden="false" customHeight="true" outlineLevel="0" collapsed="false">
      <c r="A22" s="21" t="s">
        <v>327</v>
      </c>
    </row>
    <row r="23" customFormat="false" ht="15" hidden="false" customHeight="true" outlineLevel="0" collapsed="false">
      <c r="A23" s="21" t="s">
        <v>328</v>
      </c>
    </row>
    <row r="24" customFormat="false" ht="15" hidden="false" customHeight="true" outlineLevel="0" collapsed="false">
      <c r="A24" s="21" t="s">
        <v>329</v>
      </c>
    </row>
    <row r="25" customFormat="false" ht="15" hidden="false" customHeight="true" outlineLevel="0" collapsed="false">
      <c r="A25" s="83" t="s">
        <v>330</v>
      </c>
    </row>
    <row r="26" customFormat="false" ht="15" hidden="false" customHeight="true" outlineLevel="0" collapsed="false">
      <c r="A26" s="21" t="s">
        <v>331</v>
      </c>
    </row>
    <row r="27" customFormat="false" ht="15" hidden="false" customHeight="true" outlineLevel="0" collapsed="false">
      <c r="A27" s="21" t="s">
        <v>332</v>
      </c>
    </row>
    <row r="28" customFormat="false" ht="15" hidden="false" customHeight="true" outlineLevel="0" collapsed="false">
      <c r="A28" s="21" t="s">
        <v>333</v>
      </c>
    </row>
    <row r="29" customFormat="false" ht="15" hidden="false" customHeight="true" outlineLevel="0" collapsed="false">
      <c r="A29" s="83" t="s">
        <v>334</v>
      </c>
    </row>
    <row r="30" customFormat="false" ht="15" hidden="false" customHeight="true" outlineLevel="0" collapsed="false">
      <c r="A30" s="21" t="s">
        <v>335</v>
      </c>
    </row>
    <row r="31" customFormat="false" ht="15" hidden="false" customHeight="true" outlineLevel="0" collapsed="false">
      <c r="A31" s="21" t="s">
        <v>336</v>
      </c>
    </row>
    <row r="32" customFormat="false" ht="15" hidden="false" customHeight="true" outlineLevel="0" collapsed="false">
      <c r="A32" s="21" t="s">
        <v>337</v>
      </c>
    </row>
    <row r="34" customFormat="false" ht="15" hidden="false" customHeight="true" outlineLevel="0" collapsed="false">
      <c r="A34" s="83" t="s">
        <v>338</v>
      </c>
    </row>
    <row r="35" customFormat="false" ht="15" hidden="false" customHeight="true" outlineLevel="0" collapsed="false">
      <c r="A35" s="21" t="s">
        <v>339</v>
      </c>
    </row>
    <row r="36" customFormat="false" ht="15" hidden="false" customHeight="true" outlineLevel="0" collapsed="false">
      <c r="A36" s="83" t="s">
        <v>340</v>
      </c>
    </row>
    <row r="37" customFormat="false" ht="15" hidden="false" customHeight="true" outlineLevel="0" collapsed="false">
      <c r="A37" s="21" t="s">
        <v>341</v>
      </c>
    </row>
    <row r="38" customFormat="false" ht="15" hidden="false" customHeight="true" outlineLevel="0" collapsed="false">
      <c r="A38" s="21" t="s">
        <v>342</v>
      </c>
    </row>
    <row r="39" customFormat="false" ht="15" hidden="false" customHeight="true" outlineLevel="0" collapsed="false">
      <c r="A39" s="21" t="s">
        <v>343</v>
      </c>
    </row>
    <row r="40" customFormat="false" ht="15" hidden="false" customHeight="true" outlineLevel="0" collapsed="false">
      <c r="A40" s="83" t="s">
        <v>344</v>
      </c>
    </row>
    <row r="41" customFormat="false" ht="15" hidden="false" customHeight="true" outlineLevel="0" collapsed="false">
      <c r="A41" s="21" t="s">
        <v>345</v>
      </c>
    </row>
    <row r="42" customFormat="false" ht="15" hidden="false" customHeight="true" outlineLevel="0" collapsed="false">
      <c r="A42" s="21" t="s">
        <v>346</v>
      </c>
    </row>
    <row r="43" customFormat="false" ht="15" hidden="false" customHeight="true" outlineLevel="0" collapsed="false">
      <c r="A43" s="21" t="s">
        <v>347</v>
      </c>
    </row>
    <row r="44" customFormat="false" ht="15" hidden="false" customHeight="true" outlineLevel="0" collapsed="false">
      <c r="A44" s="83" t="s">
        <v>348</v>
      </c>
    </row>
    <row r="45" customFormat="false" ht="15" hidden="false" customHeight="true" outlineLevel="0" collapsed="false">
      <c r="A45" s="21" t="s">
        <v>349</v>
      </c>
    </row>
    <row r="46" customFormat="false" ht="15" hidden="false" customHeight="true" outlineLevel="0" collapsed="false">
      <c r="A46" s="21" t="s">
        <v>350</v>
      </c>
    </row>
    <row r="47" customFormat="false" ht="15" hidden="false" customHeight="true" outlineLevel="0" collapsed="false">
      <c r="A47" s="21" t="s">
        <v>351</v>
      </c>
    </row>
    <row r="48" customFormat="false" ht="15" hidden="false" customHeight="true" outlineLevel="0" collapsed="false">
      <c r="A48" s="21" t="s">
        <v>352</v>
      </c>
    </row>
    <row r="49" customFormat="false" ht="15" hidden="false" customHeight="true" outlineLevel="0" collapsed="false">
      <c r="A49" s="21" t="s">
        <v>353</v>
      </c>
    </row>
    <row r="50" customFormat="false" ht="15" hidden="false" customHeight="true" outlineLevel="0" collapsed="false">
      <c r="A50" s="21" t="s">
        <v>354</v>
      </c>
    </row>
    <row r="51" customFormat="false" ht="15" hidden="false" customHeight="true" outlineLevel="0" collapsed="false">
      <c r="A51" s="21" t="s">
        <v>355</v>
      </c>
    </row>
    <row r="53" customFormat="false" ht="15" hidden="false" customHeight="true" outlineLevel="0" collapsed="false">
      <c r="A53" s="83" t="s">
        <v>356</v>
      </c>
    </row>
    <row r="54" customFormat="false" ht="15" hidden="false" customHeight="true" outlineLevel="0" collapsed="false">
      <c r="A54" s="21" t="s">
        <v>357</v>
      </c>
    </row>
    <row r="55" customFormat="false" ht="15" hidden="false" customHeight="true" outlineLevel="0" collapsed="false">
      <c r="A55" s="83" t="s">
        <v>358</v>
      </c>
    </row>
    <row r="56" customFormat="false" ht="15" hidden="false" customHeight="true" outlineLevel="0" collapsed="false">
      <c r="A56" s="21" t="s">
        <v>359</v>
      </c>
    </row>
    <row r="57" customFormat="false" ht="15" hidden="false" customHeight="true" outlineLevel="0" collapsed="false">
      <c r="A57" s="21" t="s">
        <v>360</v>
      </c>
    </row>
    <row r="58" customFormat="false" ht="15" hidden="false" customHeight="true" outlineLevel="0" collapsed="false">
      <c r="A58" s="21" t="s">
        <v>361</v>
      </c>
    </row>
    <row r="59" customFormat="false" ht="15" hidden="false" customHeight="true" outlineLevel="0" collapsed="false">
      <c r="A59" s="83" t="s">
        <v>362</v>
      </c>
    </row>
    <row r="60" customFormat="false" ht="15" hidden="false" customHeight="true" outlineLevel="0" collapsed="false">
      <c r="A60" s="21" t="s">
        <v>363</v>
      </c>
    </row>
    <row r="61" customFormat="false" ht="15" hidden="false" customHeight="true" outlineLevel="0" collapsed="false">
      <c r="A61" s="21" t="s">
        <v>364</v>
      </c>
    </row>
    <row r="62" customFormat="false" ht="15" hidden="false" customHeight="true" outlineLevel="0" collapsed="false">
      <c r="A62" s="21" t="s">
        <v>365</v>
      </c>
    </row>
    <row r="63" customFormat="false" ht="15" hidden="false" customHeight="true" outlineLevel="0" collapsed="false">
      <c r="A63" s="83" t="s">
        <v>366</v>
      </c>
    </row>
    <row r="64" customFormat="false" ht="15" hidden="false" customHeight="true" outlineLevel="0" collapsed="false">
      <c r="A64" s="21" t="s">
        <v>367</v>
      </c>
    </row>
    <row r="65" customFormat="false" ht="15" hidden="false" customHeight="true" outlineLevel="0" collapsed="false">
      <c r="A65" s="21" t="s">
        <v>368</v>
      </c>
    </row>
    <row r="66" customFormat="false" ht="15" hidden="false" customHeight="true" outlineLevel="0" collapsed="false">
      <c r="A66" s="21" t="s">
        <v>369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2026-01-28T22:03:10Z</dcterms:created>
  <dc:creator>Karen Elizabeth Velázquez Fuentes</dc:creator>
  <dc:description/>
  <dc:language>en-US</dc:language>
  <cp:lastModifiedBy>Alejandro Antuna</cp:lastModifiedBy>
  <dcterms:modified xsi:type="dcterms:W3CDTF">2026-03-24T17:00:53Z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0x010100AD3FA36E628BCB4BA63C6ACE3C74A42B</vt:lpwstr>
  </property>
  <property fmtid="{D5CDD505-2E9C-101B-9397-08002B2CF9AE}" pid="3" name="MediaServiceImageTags">
    <vt:lpwstr/>
  </property>
</Properties>
</file>