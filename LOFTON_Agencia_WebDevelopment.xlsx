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lejandroantunaleon/Desktop/Lofton Cowork/"/>
    </mc:Choice>
  </mc:AlternateContent>
  <xr:revisionPtr revIDLastSave="0" documentId="13_ncr:1_{98C8A083-9588-4549-8124-FA349314719C}" xr6:coauthVersionLast="47" xr6:coauthVersionMax="47" xr10:uidLastSave="{00000000-0000-0000-0000-000000000000}"/>
  <bookViews>
    <workbookView xWindow="0" yWindow="600" windowWidth="28800" windowHeight="17400" tabRatio="500" activeTab="5" xr2:uid="{00000000-000D-0000-FFFF-FFFF00000000}"/>
  </bookViews>
  <sheets>
    <sheet name="📋 Inicio" sheetId="1" r:id="rId1"/>
    <sheet name="📊 Servicios" sheetId="2" r:id="rId2"/>
    <sheet name="📅 Temporalidades" sheetId="3" r:id="rId3"/>
    <sheet name="💬 Mensajes Clave" sheetId="4" r:id="rId4"/>
    <sheet name="🌟 Marca" sheetId="5" r:id="rId5"/>
    <sheet name="📖 Guía Agencia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3" l="1"/>
  <c r="E7" i="3"/>
  <c r="E6" i="3"/>
  <c r="E5" i="3"/>
  <c r="E4" i="3"/>
  <c r="E3" i="3"/>
  <c r="E2" i="3"/>
  <c r="F7" i="2"/>
  <c r="F6" i="2"/>
  <c r="F4" i="2"/>
  <c r="F3" i="2"/>
  <c r="F2" i="2"/>
</calcChain>
</file>

<file path=xl/sharedStrings.xml><?xml version="1.0" encoding="utf-8"?>
<sst xmlns="http://schemas.openxmlformats.org/spreadsheetml/2006/main" count="120" uniqueCount="111">
  <si>
    <t>LOFTON</t>
  </si>
  <si>
    <t>Servicios Integrales de Auditoría, Contabilidad y Asesoría Fiscal</t>
  </si>
  <si>
    <t>Guía Estratégica para Desarrollo Web 2026</t>
  </si>
  <si>
    <t>CONTENIDO DE ESTE DOCUMENTO:</t>
  </si>
  <si>
    <t>1. SERVICIOS - Tabla completa con ingresos, metas y prioridad</t>
  </si>
  <si>
    <t>2. TEMPORALIDADES - Calendario de campañas con fechas</t>
  </si>
  <si>
    <t>3. MENSAJES CLAVE - Copy por servicio para el sitio</t>
  </si>
  <si>
    <t>4. MARCA - Pilares y mensajes maestros de Lofton</t>
  </si>
  <si>
    <t>5. GUÍA AGENCIA - Instrucciones para implementación web</t>
  </si>
  <si>
    <t>FECHA CREACIÓN:</t>
  </si>
  <si>
    <t>24/03/2026</t>
  </si>
  <si>
    <t>DESTINATARIO:</t>
  </si>
  <si>
    <t>Servicio</t>
  </si>
  <si>
    <t>Ingresos 2025</t>
  </si>
  <si>
    <t>Meta de Crecimiento</t>
  </si>
  <si>
    <t>% Crecimiento</t>
  </si>
  <si>
    <t>Leads Necesarios</t>
  </si>
  <si>
    <t>ROI por Lead</t>
  </si>
  <si>
    <t>Prioridad</t>
  </si>
  <si>
    <t>Auditoría</t>
  </si>
  <si>
    <t>17.4%</t>
  </si>
  <si>
    <t>🥇 ALTA</t>
  </si>
  <si>
    <t>Nómina</t>
  </si>
  <si>
    <t>11.4%</t>
  </si>
  <si>
    <t>Fiscal</t>
  </si>
  <si>
    <t>141.7%</t>
  </si>
  <si>
    <t>Mercantil/Corporativo</t>
  </si>
  <si>
    <t>66.7%</t>
  </si>
  <si>
    <t>—</t>
  </si>
  <si>
    <t>🟡 MEDIA</t>
  </si>
  <si>
    <t>Contabilidad</t>
  </si>
  <si>
    <t>6.9%</t>
  </si>
  <si>
    <t>🟢 BAJA</t>
  </si>
  <si>
    <t>Laboral</t>
  </si>
  <si>
    <t>60%</t>
  </si>
  <si>
    <t>Tema/Actividad</t>
  </si>
  <si>
    <t>Fecha Inicio</t>
  </si>
  <si>
    <t>Fecha Fin</t>
  </si>
  <si>
    <t>Duración (días)</t>
  </si>
  <si>
    <t>Notas</t>
  </si>
  <si>
    <t>Auditoría de Estados Financieros</t>
  </si>
  <si>
    <t>Dictamen Fiscal (Aviso y presentación)</t>
  </si>
  <si>
    <t>Presentación a más tardar 15 de mayo</t>
  </si>
  <si>
    <t>Dictamen Fiscal (Empuje para sig año)</t>
  </si>
  <si>
    <t>Preparar para siguiente año</t>
  </si>
  <si>
    <t>Auditoría de estados financieros</t>
  </si>
  <si>
    <t>Detección de riesgo fiscal</t>
  </si>
  <si>
    <t>Auditoría INFONAVIT</t>
  </si>
  <si>
    <t>Dictamen INFONAVIT</t>
  </si>
  <si>
    <t>Aviso más tardar 30 de abril</t>
  </si>
  <si>
    <t>Precios de Transferencia</t>
  </si>
  <si>
    <t>DIOPR</t>
  </si>
  <si>
    <t>Dividir en 3 etapas: Diagnóstico, Conversión, Remate</t>
  </si>
  <si>
    <t>Asesoría Fiscal</t>
  </si>
  <si>
    <t>Consultas fiscales especializadas</t>
  </si>
  <si>
    <t>Programa de regularización SAT</t>
  </si>
  <si>
    <t>Contestación a cartas invitación</t>
  </si>
  <si>
    <t>Vigilancia profunda - 3 picos</t>
  </si>
  <si>
    <t>Contabilidad y Auditoría</t>
  </si>
  <si>
    <t>El SAT ya sabe más de tu empresa de lo que crees</t>
  </si>
  <si>
    <t>Control antes de que el SAT lo haga por ti</t>
  </si>
  <si>
    <t>Audítate antes de que te audite</t>
  </si>
  <si>
    <t>Cómo prepararte para una auditoría del SAT</t>
  </si>
  <si>
    <t>Blindaje fiscal antes del SAT</t>
  </si>
  <si>
    <t>Eficiencia fiscal</t>
  </si>
  <si>
    <t>Un buen control interno, base de una mejor administración</t>
  </si>
  <si>
    <t>Qué hacer en caso de una auditoría del SAT</t>
  </si>
  <si>
    <t>¿Estás siendo auditado y no tienes una estrategia?</t>
  </si>
  <si>
    <t>La materialidad en 2026 será muy importante como mecanismo de defensa</t>
  </si>
  <si>
    <t>Comercio Exterior: ¿tus operaciones están correctamente documentadas?</t>
  </si>
  <si>
    <t>Corporativo / Mercantil</t>
  </si>
  <si>
    <t>Gobernanza corporativa con efectos probatorios y de blindaje legal</t>
  </si>
  <si>
    <t>¿Quién controla realmente tu empresa? Riesgos legales del control mal definido</t>
  </si>
  <si>
    <t>Fecha cierta en operaciones relevantes</t>
  </si>
  <si>
    <t>Estrategias fiscales a través de activos intangibles</t>
  </si>
  <si>
    <t>¿Tu patrimonio está expuesto? Blindaje patrimonial y continuidad empresarial</t>
  </si>
  <si>
    <t>Nómina y Laboral</t>
  </si>
  <si>
    <t>Eficiencia fiscal para empresas y colaboradores</t>
  </si>
  <si>
    <t>Prevención laboral antes de la demanda</t>
  </si>
  <si>
    <t>¿Estás preparado para una auditoría de STPS?</t>
  </si>
  <si>
    <t>¿Pagas liquidaciones porque no sabes cómo dar de baja a un colaborador?</t>
  </si>
  <si>
    <t>REPSE: lo debes tener, pero ¿sabes administrarlo?</t>
  </si>
  <si>
    <t>PILARES DE MARCA LOFTON</t>
  </si>
  <si>
    <t>No vendemos servicios,</t>
  </si>
  <si>
    <t>Somos más que un proveedor</t>
  </si>
  <si>
    <t>INSTRUCCIONES PARA DESARROLLO WEB</t>
  </si>
  <si>
    <t>ORDEN DE PESTAÑAS EN SITIO</t>
  </si>
  <si>
    <t>1. Auditoría (prioridad alta - 5 leads necesarios)</t>
  </si>
  <si>
    <t>2. Nómina (prioridad alta - 80 leads/volumen)</t>
  </si>
  <si>
    <t>3. Fiscal (prioridad alta - 141.7% crecimiento)</t>
  </si>
  <si>
    <t>4. Mercantil/Corporativo (prioridad media)</t>
  </si>
  <si>
    <t>5. Contabilidad (prioridad baja - ya es ancla)</t>
  </si>
  <si>
    <t>6. Laboral (complementario con nómina)</t>
  </si>
  <si>
    <t>CONTENIDO POR PESTAÑA</t>
  </si>
  <si>
    <t>- Usar los mensajes clave específicos de cada servicio</t>
  </si>
  <si>
    <t>- Enfatizar los pilares de marca en toda la web</t>
  </si>
  <si>
    <t>- Agregar fechas de campañas (ver pestaña Temporalidades)</t>
  </si>
  <si>
    <t>- Incluir CTAs hacia diagnósticos gratuitos (mecanismo de atracción)</t>
  </si>
  <si>
    <t>MECANISMOS DE ATRACCIÓN</t>
  </si>
  <si>
    <t>- Contabilidad/Auditoría: Diagnóstico de riesgo fiscal</t>
  </si>
  <si>
    <t>- Corporativo: Diagnóstico corporativo</t>
  </si>
  <si>
    <t>- Nómina/Laboral: Diagnóstico de eficiencia en nómina</t>
  </si>
  <si>
    <t>MÉTRICAS CLAVE</t>
  </si>
  <si>
    <t>- Auditoría: ROI $250K por lead (5 leads = $1.25M)</t>
  </si>
  <si>
    <t>- Fiscal: Crecimiento 141.7% (enfatizar urgencia)</t>
  </si>
  <si>
    <t>- Nómina: Mayor volumen (80 leads/mes necesarios)</t>
  </si>
  <si>
    <t>TONO DE VENTA</t>
  </si>
  <si>
    <t>- Enfoque en RIESGO y PROTECCIÓN (no en features)</t>
  </si>
  <si>
    <t>- Mensajes de defensa: antes de que te audite, antes de demanda</t>
  </si>
  <si>
    <t>- Positioning: aliado estratégico, no proveedor</t>
  </si>
  <si>
    <t>TresPuntos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</si>
</sst>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dd/mm/yyyy"/>
  </numFmts>
  <fonts count="9" x14ac:knownFonts="1">
    <font>
      <sz val="11"/>
      <color theme="1"/>
      <name val="Calibri"/>
      <family val="2"/>
      <charset val="1"/>
    </font>
    <font>
      <b/>
      <sz val="28"/>
      <color rgb="FFFFFFFF"/>
      <name val="Cambria"/>
      <charset val="1"/>
    </font>
    <font>
      <b/>
      <sz val="14"/>
      <color rgb="FF1F4E78"/>
      <name val="Cambria"/>
      <charset val="1"/>
    </font>
    <font>
      <b/>
      <i/>
      <sz val="12"/>
      <name val="Cambria"/>
      <charset val="1"/>
    </font>
    <font>
      <b/>
      <sz val="11"/>
      <color rgb="FFFFFFFF"/>
      <name val="Cambria"/>
      <charset val="1"/>
    </font>
    <font>
      <sz val="10"/>
      <name val="Cambria"/>
      <charset val="1"/>
    </font>
    <font>
      <b/>
      <sz val="11"/>
      <name val="Cambria"/>
      <charset val="1"/>
    </font>
    <font>
      <b/>
      <sz val="12"/>
      <color rgb="FFFFFFFF"/>
      <name val="Cambria"/>
      <charset val="1"/>
    </font>
    <font>
      <b/>
      <sz val="14"/>
      <color rgb="FFFFFFFF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8" fillId="2" borderId="0" xfId="0" applyFont="1" applyFill="1"/>
    <xf numFmtId="0" fontId="3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center" vertical="center"/>
    </xf>
    <xf numFmtId="0" fontId="5" fillId="0" borderId="0" xfId="0" applyFont="1"/>
    <xf numFmtId="0" fontId="4" fillId="3" borderId="0" xfId="0" applyFont="1" applyFill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0" borderId="0" xfId="0" applyFont="1"/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165" fontId="0" fillId="0" borderId="0" xfId="0" applyNumberFormat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Normal="100" workbookViewId="0">
      <selection activeCell="B23" sqref="B23"/>
    </sheetView>
  </sheetViews>
  <sheetFormatPr baseColWidth="10" defaultColWidth="8.6640625" defaultRowHeight="15" customHeight="1" x14ac:dyDescent="0.2"/>
  <cols>
    <col min="1" max="6" width="20" customWidth="1"/>
  </cols>
  <sheetData>
    <row r="1" spans="1:6" ht="49.5" customHeight="1" x14ac:dyDescent="0.2">
      <c r="A1" s="9" t="s">
        <v>0</v>
      </c>
      <c r="B1" s="9"/>
      <c r="C1" s="9"/>
      <c r="D1" s="9"/>
      <c r="E1" s="9"/>
      <c r="F1" s="9"/>
    </row>
    <row r="3" spans="1:6" ht="17.25" customHeight="1" x14ac:dyDescent="0.2">
      <c r="A3" s="8" t="s">
        <v>1</v>
      </c>
      <c r="B3" s="8"/>
      <c r="C3" s="8"/>
      <c r="D3" s="8"/>
      <c r="E3" s="8"/>
      <c r="F3" s="8"/>
    </row>
    <row r="5" spans="1:6" ht="15" customHeight="1" x14ac:dyDescent="0.2">
      <c r="A5" s="7" t="s">
        <v>2</v>
      </c>
      <c r="B5" s="7"/>
      <c r="C5" s="7"/>
      <c r="D5" s="7"/>
      <c r="E5" s="7"/>
      <c r="F5" s="7"/>
    </row>
    <row r="7" spans="1:6" ht="15" customHeight="1" x14ac:dyDescent="0.2">
      <c r="A7" s="6" t="s">
        <v>3</v>
      </c>
      <c r="B7" s="6"/>
      <c r="C7" s="6"/>
      <c r="D7" s="6"/>
      <c r="E7" s="6"/>
      <c r="F7" s="6"/>
    </row>
    <row r="8" spans="1:6" ht="15" customHeight="1" x14ac:dyDescent="0.2">
      <c r="A8" s="5" t="s">
        <v>4</v>
      </c>
      <c r="B8" s="5"/>
      <c r="C8" s="5"/>
      <c r="D8" s="5"/>
      <c r="E8" s="5"/>
      <c r="F8" s="5"/>
    </row>
    <row r="9" spans="1:6" ht="15" customHeight="1" x14ac:dyDescent="0.2">
      <c r="A9" s="5" t="s">
        <v>5</v>
      </c>
      <c r="B9" s="5"/>
      <c r="C9" s="5"/>
      <c r="D9" s="5"/>
      <c r="E9" s="5"/>
      <c r="F9" s="5"/>
    </row>
    <row r="10" spans="1:6" ht="15" customHeight="1" x14ac:dyDescent="0.2">
      <c r="A10" s="5" t="s">
        <v>6</v>
      </c>
      <c r="B10" s="5"/>
      <c r="C10" s="5"/>
      <c r="D10" s="5"/>
      <c r="E10" s="5"/>
      <c r="F10" s="5"/>
    </row>
    <row r="11" spans="1:6" ht="15" customHeight="1" x14ac:dyDescent="0.2">
      <c r="A11" s="5" t="s">
        <v>7</v>
      </c>
      <c r="B11" s="5"/>
      <c r="C11" s="5"/>
      <c r="D11" s="5"/>
      <c r="E11" s="5"/>
      <c r="F11" s="5"/>
    </row>
    <row r="12" spans="1:6" ht="15" customHeight="1" x14ac:dyDescent="0.2">
      <c r="A12" s="5" t="s">
        <v>8</v>
      </c>
      <c r="B12" s="5"/>
      <c r="C12" s="5"/>
      <c r="D12" s="5"/>
      <c r="E12" s="5"/>
      <c r="F12" s="5"/>
    </row>
    <row r="14" spans="1:6" ht="15" customHeight="1" x14ac:dyDescent="0.2">
      <c r="A14" s="10" t="s">
        <v>9</v>
      </c>
      <c r="B14" t="s">
        <v>10</v>
      </c>
    </row>
    <row r="15" spans="1:6" ht="15" customHeight="1" x14ac:dyDescent="0.2">
      <c r="A15" s="10" t="s">
        <v>11</v>
      </c>
      <c r="B15" t="s">
        <v>110</v>
      </c>
    </row>
  </sheetData>
  <mergeCells count="9">
    <mergeCell ref="A9:F9"/>
    <mergeCell ref="A10:F10"/>
    <mergeCell ref="A11:F11"/>
    <mergeCell ref="A12:F12"/>
    <mergeCell ref="A1:F1"/>
    <mergeCell ref="A3:F3"/>
    <mergeCell ref="A5:F5"/>
    <mergeCell ref="A7:F7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workbookViewId="0"/>
  </sheetViews>
  <sheetFormatPr baseColWidth="10" defaultColWidth="8.6640625" defaultRowHeight="15" customHeight="1" x14ac:dyDescent="0.2"/>
  <cols>
    <col min="1" max="1" width="25" customWidth="1"/>
    <col min="2" max="2" width="18" customWidth="1"/>
    <col min="3" max="3" width="20" customWidth="1"/>
    <col min="4" max="4" width="16" customWidth="1"/>
    <col min="5" max="6" width="18" customWidth="1"/>
    <col min="7" max="7" width="16" customWidth="1"/>
  </cols>
  <sheetData>
    <row r="1" spans="1:7" ht="30" customHeight="1" x14ac:dyDescent="0.2">
      <c r="A1" s="11" t="s">
        <v>12</v>
      </c>
      <c r="B1" s="11" t="s">
        <v>13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</row>
    <row r="2" spans="1:7" ht="15" customHeight="1" x14ac:dyDescent="0.2">
      <c r="A2" s="12" t="s">
        <v>19</v>
      </c>
      <c r="B2" s="13">
        <v>7200000</v>
      </c>
      <c r="C2" s="14">
        <v>1250000</v>
      </c>
      <c r="D2" s="15" t="s">
        <v>20</v>
      </c>
      <c r="E2" s="15">
        <v>5</v>
      </c>
      <c r="F2" s="14">
        <f>C2/E2</f>
        <v>250000</v>
      </c>
      <c r="G2" s="15" t="s">
        <v>21</v>
      </c>
    </row>
    <row r="3" spans="1:7" ht="15" customHeight="1" x14ac:dyDescent="0.2">
      <c r="A3" s="12" t="s">
        <v>22</v>
      </c>
      <c r="B3" s="13">
        <v>8800000</v>
      </c>
      <c r="C3" s="14">
        <v>1000000</v>
      </c>
      <c r="D3" s="15" t="s">
        <v>23</v>
      </c>
      <c r="E3" s="15">
        <v>80</v>
      </c>
      <c r="F3" s="14">
        <f>C3/E3</f>
        <v>12500</v>
      </c>
      <c r="G3" s="15" t="s">
        <v>21</v>
      </c>
    </row>
    <row r="4" spans="1:7" ht="15" customHeight="1" x14ac:dyDescent="0.2">
      <c r="A4" s="12" t="s">
        <v>24</v>
      </c>
      <c r="B4" s="13">
        <v>600000</v>
      </c>
      <c r="C4" s="14">
        <v>850000</v>
      </c>
      <c r="D4" s="15" t="s">
        <v>25</v>
      </c>
      <c r="E4" s="15">
        <v>3.4</v>
      </c>
      <c r="F4" s="14">
        <f>C4/E4</f>
        <v>250000</v>
      </c>
      <c r="G4" s="15" t="s">
        <v>21</v>
      </c>
    </row>
    <row r="5" spans="1:7" ht="15" customHeight="1" x14ac:dyDescent="0.2">
      <c r="A5" s="12" t="s">
        <v>26</v>
      </c>
      <c r="B5" s="13">
        <v>1500000</v>
      </c>
      <c r="C5" s="14">
        <v>1000000</v>
      </c>
      <c r="D5" s="15" t="s">
        <v>27</v>
      </c>
      <c r="E5" s="15" t="s">
        <v>28</v>
      </c>
      <c r="F5" s="14" t="s">
        <v>28</v>
      </c>
      <c r="G5" s="15" t="s">
        <v>29</v>
      </c>
    </row>
    <row r="6" spans="1:7" ht="15" customHeight="1" x14ac:dyDescent="0.2">
      <c r="A6" s="12" t="s">
        <v>30</v>
      </c>
      <c r="B6" s="13">
        <v>10800000</v>
      </c>
      <c r="C6" s="14">
        <v>750000</v>
      </c>
      <c r="D6" s="15" t="s">
        <v>31</v>
      </c>
      <c r="E6" s="15">
        <v>3</v>
      </c>
      <c r="F6" s="14">
        <f>C6/E6</f>
        <v>250000</v>
      </c>
      <c r="G6" s="15" t="s">
        <v>32</v>
      </c>
    </row>
    <row r="7" spans="1:7" ht="15" customHeight="1" x14ac:dyDescent="0.2">
      <c r="A7" s="12" t="s">
        <v>33</v>
      </c>
      <c r="B7" s="13">
        <v>250000</v>
      </c>
      <c r="C7" s="14">
        <v>150000</v>
      </c>
      <c r="D7" s="15" t="s">
        <v>34</v>
      </c>
      <c r="E7" s="15">
        <v>10</v>
      </c>
      <c r="F7" s="14">
        <f>C7/E7</f>
        <v>15000</v>
      </c>
      <c r="G7" s="15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2" width="40" customWidth="1"/>
    <col min="3" max="5" width="16" customWidth="1"/>
    <col min="6" max="6" width="50" customWidth="1"/>
  </cols>
  <sheetData>
    <row r="1" spans="1:6" ht="24.75" customHeight="1" x14ac:dyDescent="0.2">
      <c r="A1" s="11" t="s">
        <v>12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</row>
    <row r="2" spans="1:6" ht="15" customHeight="1" x14ac:dyDescent="0.2">
      <c r="A2" s="16" t="s">
        <v>40</v>
      </c>
      <c r="B2" s="16" t="s">
        <v>41</v>
      </c>
      <c r="C2" s="17">
        <v>46063</v>
      </c>
      <c r="D2" s="17">
        <v>46106</v>
      </c>
      <c r="E2" s="15">
        <f t="shared" ref="E2:E8" si="0">IF(AND(C2&lt;&gt;"",D2&lt;&gt;""),D2-C2,"")</f>
        <v>43</v>
      </c>
      <c r="F2" s="16" t="s">
        <v>42</v>
      </c>
    </row>
    <row r="3" spans="1:6" ht="15" customHeight="1" x14ac:dyDescent="0.2">
      <c r="A3" s="16" t="s">
        <v>40</v>
      </c>
      <c r="B3" s="16" t="s">
        <v>43</v>
      </c>
      <c r="C3" s="17">
        <v>46279</v>
      </c>
      <c r="D3" s="17">
        <v>46329</v>
      </c>
      <c r="E3" s="15">
        <f t="shared" si="0"/>
        <v>50</v>
      </c>
      <c r="F3" s="16" t="s">
        <v>44</v>
      </c>
    </row>
    <row r="4" spans="1:6" ht="15" customHeight="1" x14ac:dyDescent="0.2">
      <c r="A4" s="16" t="s">
        <v>40</v>
      </c>
      <c r="B4" s="16" t="s">
        <v>45</v>
      </c>
      <c r="C4" s="17">
        <v>46144</v>
      </c>
      <c r="D4" s="17">
        <v>46203</v>
      </c>
      <c r="E4" s="15">
        <f t="shared" si="0"/>
        <v>59</v>
      </c>
      <c r="F4" s="16" t="s">
        <v>46</v>
      </c>
    </row>
    <row r="5" spans="1:6" ht="15" customHeight="1" x14ac:dyDescent="0.2">
      <c r="A5" s="16" t="s">
        <v>47</v>
      </c>
      <c r="B5" s="16" t="s">
        <v>48</v>
      </c>
      <c r="C5" s="17">
        <v>46069</v>
      </c>
      <c r="D5" s="17">
        <v>46112</v>
      </c>
      <c r="E5" s="15">
        <f t="shared" si="0"/>
        <v>43</v>
      </c>
      <c r="F5" s="16" t="s">
        <v>49</v>
      </c>
    </row>
    <row r="6" spans="1:6" ht="15" customHeight="1" x14ac:dyDescent="0.2">
      <c r="A6" s="16" t="s">
        <v>50</v>
      </c>
      <c r="B6" s="16" t="s">
        <v>51</v>
      </c>
      <c r="C6" s="17">
        <v>46090</v>
      </c>
      <c r="D6" s="17">
        <v>46157</v>
      </c>
      <c r="E6" s="15">
        <f t="shared" si="0"/>
        <v>67</v>
      </c>
      <c r="F6" s="16" t="s">
        <v>52</v>
      </c>
    </row>
    <row r="7" spans="1:6" ht="15" customHeight="1" x14ac:dyDescent="0.2">
      <c r="A7" s="16" t="s">
        <v>53</v>
      </c>
      <c r="B7" s="16" t="s">
        <v>54</v>
      </c>
      <c r="C7" s="17">
        <v>46069</v>
      </c>
      <c r="D7" s="17">
        <v>46112</v>
      </c>
      <c r="E7" s="15">
        <f t="shared" si="0"/>
        <v>43</v>
      </c>
      <c r="F7" s="16" t="s">
        <v>55</v>
      </c>
    </row>
    <row r="8" spans="1:6" ht="15" customHeight="1" x14ac:dyDescent="0.2">
      <c r="A8" s="16" t="s">
        <v>24</v>
      </c>
      <c r="B8" s="16" t="s">
        <v>56</v>
      </c>
      <c r="C8" s="17">
        <v>46098</v>
      </c>
      <c r="D8" s="17">
        <v>46356</v>
      </c>
      <c r="E8" s="15">
        <f t="shared" si="0"/>
        <v>258</v>
      </c>
      <c r="F8" s="16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8"/>
  <sheetViews>
    <sheetView topLeftCell="A14" zoomScaleNormal="100" workbookViewId="0"/>
  </sheetViews>
  <sheetFormatPr baseColWidth="10" defaultColWidth="8.6640625" defaultRowHeight="15" customHeight="1" x14ac:dyDescent="0.2"/>
  <cols>
    <col min="1" max="1" width="85" customWidth="1"/>
  </cols>
  <sheetData>
    <row r="1" spans="1:1" ht="19.5" customHeight="1" x14ac:dyDescent="0.2">
      <c r="A1" s="18" t="s">
        <v>58</v>
      </c>
    </row>
    <row r="2" spans="1:1" ht="24.75" customHeight="1" x14ac:dyDescent="0.2">
      <c r="A2" s="16" t="s">
        <v>59</v>
      </c>
    </row>
    <row r="3" spans="1:1" ht="24.75" customHeight="1" x14ac:dyDescent="0.2">
      <c r="A3" s="16" t="s">
        <v>60</v>
      </c>
    </row>
    <row r="4" spans="1:1" ht="24.75" customHeight="1" x14ac:dyDescent="0.2">
      <c r="A4" s="16" t="s">
        <v>61</v>
      </c>
    </row>
    <row r="5" spans="1:1" ht="24.75" customHeight="1" x14ac:dyDescent="0.2">
      <c r="A5" s="16" t="s">
        <v>62</v>
      </c>
    </row>
    <row r="6" spans="1:1" ht="24.75" customHeight="1" x14ac:dyDescent="0.2">
      <c r="A6" s="16" t="s">
        <v>63</v>
      </c>
    </row>
    <row r="7" spans="1:1" ht="24.75" customHeight="1" x14ac:dyDescent="0.2">
      <c r="A7" s="16" t="s">
        <v>64</v>
      </c>
    </row>
    <row r="8" spans="1:1" ht="24.75" customHeight="1" x14ac:dyDescent="0.2">
      <c r="A8" s="16" t="s">
        <v>65</v>
      </c>
    </row>
    <row r="10" spans="1:1" ht="19.5" customHeight="1" x14ac:dyDescent="0.2">
      <c r="A10" s="18" t="s">
        <v>24</v>
      </c>
    </row>
    <row r="11" spans="1:1" ht="24.75" customHeight="1" x14ac:dyDescent="0.2">
      <c r="A11" s="16" t="s">
        <v>66</v>
      </c>
    </row>
    <row r="12" spans="1:1" ht="24.75" customHeight="1" x14ac:dyDescent="0.2">
      <c r="A12" s="16" t="s">
        <v>67</v>
      </c>
    </row>
    <row r="13" spans="1:1" ht="24.75" customHeight="1" x14ac:dyDescent="0.2">
      <c r="A13" s="16" t="s">
        <v>68</v>
      </c>
    </row>
    <row r="14" spans="1:1" ht="24.75" customHeight="1" x14ac:dyDescent="0.2">
      <c r="A14" s="16" t="s">
        <v>69</v>
      </c>
    </row>
    <row r="16" spans="1:1" ht="19.5" customHeight="1" x14ac:dyDescent="0.2">
      <c r="A16" s="18" t="s">
        <v>70</v>
      </c>
    </row>
    <row r="17" spans="1:1" ht="24.75" customHeight="1" x14ac:dyDescent="0.2">
      <c r="A17" s="16" t="s">
        <v>71</v>
      </c>
    </row>
    <row r="18" spans="1:1" ht="24.75" customHeight="1" x14ac:dyDescent="0.2">
      <c r="A18" s="16" t="s">
        <v>72</v>
      </c>
    </row>
    <row r="19" spans="1:1" ht="24.75" customHeight="1" x14ac:dyDescent="0.2">
      <c r="A19" s="16" t="s">
        <v>73</v>
      </c>
    </row>
    <row r="20" spans="1:1" ht="24.75" customHeight="1" x14ac:dyDescent="0.2">
      <c r="A20" s="16" t="s">
        <v>74</v>
      </c>
    </row>
    <row r="21" spans="1:1" ht="24.75" customHeight="1" x14ac:dyDescent="0.2">
      <c r="A21" s="16" t="s">
        <v>75</v>
      </c>
    </row>
    <row r="23" spans="1:1" ht="19.5" customHeight="1" x14ac:dyDescent="0.2">
      <c r="A23" s="18" t="s">
        <v>76</v>
      </c>
    </row>
    <row r="24" spans="1:1" ht="24.75" customHeight="1" x14ac:dyDescent="0.2">
      <c r="A24" s="16" t="s">
        <v>77</v>
      </c>
    </row>
    <row r="25" spans="1:1" ht="24.75" customHeight="1" x14ac:dyDescent="0.2">
      <c r="A25" s="16" t="s">
        <v>78</v>
      </c>
    </row>
    <row r="26" spans="1:1" ht="24.75" customHeight="1" x14ac:dyDescent="0.2">
      <c r="A26" s="16" t="s">
        <v>79</v>
      </c>
    </row>
    <row r="27" spans="1:1" ht="24.75" customHeight="1" x14ac:dyDescent="0.2">
      <c r="A27" s="16" t="s">
        <v>80</v>
      </c>
    </row>
    <row r="28" spans="1:1" ht="24.75" customHeight="1" x14ac:dyDescent="0.2">
      <c r="A28" s="16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zoomScaleNormal="100" workbookViewId="0">
      <selection sqref="A1:B1"/>
    </sheetView>
  </sheetViews>
  <sheetFormatPr baseColWidth="10" defaultColWidth="8.6640625" defaultRowHeight="15" customHeight="1" x14ac:dyDescent="0.2"/>
  <cols>
    <col min="1" max="2" width="40" customWidth="1"/>
  </cols>
  <sheetData>
    <row r="1" spans="1:2" ht="24.75" customHeight="1" x14ac:dyDescent="0.2">
      <c r="A1" s="4" t="s">
        <v>82</v>
      </c>
      <c r="B1" s="4"/>
    </row>
    <row r="2" spans="1:2" ht="34.5" customHeight="1" x14ac:dyDescent="0.2">
      <c r="A2" s="3" t="s">
        <v>83</v>
      </c>
      <c r="B2" s="3"/>
    </row>
    <row r="3" spans="1:2" ht="34.5" customHeight="1" x14ac:dyDescent="0.2">
      <c r="A3" s="3" t="s">
        <v>84</v>
      </c>
      <c r="B3" s="3"/>
    </row>
  </sheetData>
  <mergeCells count="3">
    <mergeCell ref="A1:B1"/>
    <mergeCell ref="A2:B2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tabSelected="1" topLeftCell="A3" zoomScaleNormal="100" workbookViewId="0">
      <selection activeCell="L19" sqref="L19"/>
    </sheetView>
  </sheetViews>
  <sheetFormatPr baseColWidth="10" defaultColWidth="8.6640625" defaultRowHeight="15" customHeight="1" x14ac:dyDescent="0.2"/>
  <cols>
    <col min="1" max="1" width="85" customWidth="1"/>
  </cols>
  <sheetData>
    <row r="1" spans="1:4" ht="24.75" customHeight="1" x14ac:dyDescent="0.2">
      <c r="A1" s="2" t="s">
        <v>85</v>
      </c>
      <c r="B1" s="2"/>
      <c r="C1" s="2"/>
      <c r="D1" s="2"/>
    </row>
    <row r="3" spans="1:4" ht="19.5" customHeight="1" x14ac:dyDescent="0.2">
      <c r="A3" s="6" t="s">
        <v>86</v>
      </c>
      <c r="B3" s="6"/>
      <c r="C3" s="6"/>
      <c r="D3" s="6"/>
    </row>
    <row r="4" spans="1:4" ht="19.5" customHeight="1" x14ac:dyDescent="0.2">
      <c r="A4" s="1" t="s">
        <v>87</v>
      </c>
      <c r="B4" s="1"/>
      <c r="C4" s="1"/>
      <c r="D4" s="1"/>
    </row>
    <row r="5" spans="1:4" ht="19.5" customHeight="1" x14ac:dyDescent="0.2">
      <c r="A5" s="1" t="s">
        <v>88</v>
      </c>
      <c r="B5" s="1"/>
      <c r="C5" s="1"/>
      <c r="D5" s="1"/>
    </row>
    <row r="6" spans="1:4" ht="19.5" customHeight="1" x14ac:dyDescent="0.2">
      <c r="A6" s="1" t="s">
        <v>89</v>
      </c>
      <c r="B6" s="1"/>
      <c r="C6" s="1"/>
      <c r="D6" s="1"/>
    </row>
    <row r="7" spans="1:4" ht="19.5" customHeight="1" x14ac:dyDescent="0.2">
      <c r="A7" s="1" t="s">
        <v>90</v>
      </c>
      <c r="B7" s="1"/>
      <c r="C7" s="1"/>
      <c r="D7" s="1"/>
    </row>
    <row r="8" spans="1:4" ht="19.5" customHeight="1" x14ac:dyDescent="0.2">
      <c r="A8" s="1" t="s">
        <v>91</v>
      </c>
      <c r="B8" s="1"/>
      <c r="C8" s="1"/>
      <c r="D8" s="1"/>
    </row>
    <row r="9" spans="1:4" ht="19.5" customHeight="1" x14ac:dyDescent="0.2">
      <c r="A9" s="1" t="s">
        <v>92</v>
      </c>
      <c r="B9" s="1"/>
      <c r="C9" s="1"/>
      <c r="D9" s="1"/>
    </row>
    <row r="11" spans="1:4" ht="19.5" customHeight="1" x14ac:dyDescent="0.2">
      <c r="A11" s="6" t="s">
        <v>93</v>
      </c>
      <c r="B11" s="6"/>
      <c r="C11" s="6"/>
      <c r="D11" s="6"/>
    </row>
    <row r="12" spans="1:4" ht="19.5" customHeight="1" x14ac:dyDescent="0.2">
      <c r="A12" s="1" t="s">
        <v>94</v>
      </c>
      <c r="B12" s="1"/>
      <c r="C12" s="1"/>
      <c r="D12" s="1"/>
    </row>
    <row r="13" spans="1:4" ht="19.5" customHeight="1" x14ac:dyDescent="0.2">
      <c r="A13" s="1" t="s">
        <v>95</v>
      </c>
      <c r="B13" s="1"/>
      <c r="C13" s="1"/>
      <c r="D13" s="1"/>
    </row>
    <row r="14" spans="1:4" ht="19.5" customHeight="1" x14ac:dyDescent="0.2">
      <c r="A14" s="1" t="s">
        <v>96</v>
      </c>
      <c r="B14" s="1"/>
      <c r="C14" s="1"/>
      <c r="D14" s="1"/>
    </row>
    <row r="15" spans="1:4" ht="19.5" customHeight="1" x14ac:dyDescent="0.2">
      <c r="A15" s="1" t="s">
        <v>97</v>
      </c>
      <c r="B15" s="1"/>
      <c r="C15" s="1"/>
      <c r="D15" s="1"/>
    </row>
    <row r="17" spans="1:4" ht="19.5" customHeight="1" x14ac:dyDescent="0.2">
      <c r="A17" s="6" t="s">
        <v>98</v>
      </c>
      <c r="B17" s="6"/>
      <c r="C17" s="6"/>
      <c r="D17" s="6"/>
    </row>
    <row r="18" spans="1:4" ht="19.5" customHeight="1" x14ac:dyDescent="0.2">
      <c r="A18" s="1" t="s">
        <v>99</v>
      </c>
      <c r="B18" s="1"/>
      <c r="C18" s="1"/>
      <c r="D18" s="1"/>
    </row>
    <row r="19" spans="1:4" ht="19.5" customHeight="1" x14ac:dyDescent="0.2">
      <c r="A19" s="1" t="s">
        <v>100</v>
      </c>
      <c r="B19" s="1"/>
      <c r="C19" s="1"/>
      <c r="D19" s="1"/>
    </row>
    <row r="20" spans="1:4" ht="19.5" customHeight="1" x14ac:dyDescent="0.2">
      <c r="A20" s="1" t="s">
        <v>101</v>
      </c>
      <c r="B20" s="1"/>
      <c r="C20" s="1"/>
      <c r="D20" s="1"/>
    </row>
    <row r="22" spans="1:4" ht="19.5" customHeight="1" x14ac:dyDescent="0.2">
      <c r="A22" s="6" t="s">
        <v>102</v>
      </c>
      <c r="B22" s="6"/>
      <c r="C22" s="6"/>
      <c r="D22" s="6"/>
    </row>
    <row r="23" spans="1:4" ht="19.5" customHeight="1" x14ac:dyDescent="0.2">
      <c r="A23" s="1" t="s">
        <v>103</v>
      </c>
      <c r="B23" s="1"/>
      <c r="C23" s="1"/>
      <c r="D23" s="1"/>
    </row>
    <row r="24" spans="1:4" ht="19.5" customHeight="1" x14ac:dyDescent="0.2">
      <c r="A24" s="1" t="s">
        <v>104</v>
      </c>
      <c r="B24" s="1"/>
      <c r="C24" s="1"/>
      <c r="D24" s="1"/>
    </row>
    <row r="25" spans="1:4" ht="19.5" customHeight="1" x14ac:dyDescent="0.2">
      <c r="A25" s="1" t="s">
        <v>105</v>
      </c>
      <c r="B25" s="1"/>
      <c r="C25" s="1"/>
      <c r="D25" s="1"/>
    </row>
    <row r="27" spans="1:4" ht="19.5" customHeight="1" x14ac:dyDescent="0.2">
      <c r="A27" s="6" t="s">
        <v>106</v>
      </c>
      <c r="B27" s="6"/>
      <c r="C27" s="6"/>
      <c r="D27" s="6"/>
    </row>
    <row r="28" spans="1:4" ht="19.5" customHeight="1" x14ac:dyDescent="0.2">
      <c r="A28" s="1" t="s">
        <v>107</v>
      </c>
      <c r="B28" s="1"/>
      <c r="C28" s="1"/>
      <c r="D28" s="1"/>
    </row>
    <row r="29" spans="1:4" ht="19.5" customHeight="1" x14ac:dyDescent="0.2">
      <c r="A29" s="1" t="s">
        <v>108</v>
      </c>
      <c r="B29" s="1"/>
      <c r="C29" s="1"/>
      <c r="D29" s="1"/>
    </row>
    <row r="30" spans="1:4" ht="19.5" customHeight="1" x14ac:dyDescent="0.2">
      <c r="A30" s="1" t="s">
        <v>109</v>
      </c>
      <c r="B30" s="1"/>
      <c r="C30" s="1"/>
      <c r="D30" s="1"/>
    </row>
  </sheetData>
  <mergeCells count="25">
    <mergeCell ref="A25:D25"/>
    <mergeCell ref="A27:D27"/>
    <mergeCell ref="A28:D28"/>
    <mergeCell ref="A29:D29"/>
    <mergeCell ref="A30:D30"/>
    <mergeCell ref="A19:D19"/>
    <mergeCell ref="A20:D20"/>
    <mergeCell ref="A22:D22"/>
    <mergeCell ref="A23:D23"/>
    <mergeCell ref="A24:D24"/>
    <mergeCell ref="A13:D13"/>
    <mergeCell ref="A14:D14"/>
    <mergeCell ref="A15:D15"/>
    <mergeCell ref="A17:D17"/>
    <mergeCell ref="A18:D18"/>
    <mergeCell ref="A7:D7"/>
    <mergeCell ref="A8:D8"/>
    <mergeCell ref="A9:D9"/>
    <mergeCell ref="A11:D11"/>
    <mergeCell ref="A12:D12"/>
    <mergeCell ref="A1:D1"/>
    <mergeCell ref="A3:D3"/>
    <mergeCell ref="A4:D4"/>
    <mergeCell ref="A5:D5"/>
    <mergeCell ref="A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📋 Inicio</vt:lpstr>
      <vt:lpstr>📊 Servicios</vt:lpstr>
      <vt:lpstr>📅 Temporalidades</vt:lpstr>
      <vt:lpstr>💬 Mensajes Clave</vt:lpstr>
      <vt:lpstr>🌟 Marca</vt:lpstr>
      <vt:lpstr>📖 Guía Agencia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Alejandro Antuna</cp:lastModifiedBy>
  <cp:revision>0</cp:revision>
  <dcterms:created xsi:type="dcterms:W3CDTF">2026-03-24T17:04:14Z</dcterms:created>
  <dcterms:modified xsi:type="dcterms:W3CDTF">2026-03-24T17:07:56Z</dcterms:modified>
  <dc:language>en-US</dc:language>
</cp:coreProperties>
</file>